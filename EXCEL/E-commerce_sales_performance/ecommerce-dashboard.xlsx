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n\Documents\ProjetExcels\Projet1\"/>
    </mc:Choice>
  </mc:AlternateContent>
  <xr:revisionPtr revIDLastSave="0" documentId="13_ncr:1_{35E99FB6-B2C4-4B53-8827-C98C6D6E1106}" xr6:coauthVersionLast="47" xr6:coauthVersionMax="47" xr10:uidLastSave="{00000000-0000-0000-0000-000000000000}"/>
  <bookViews>
    <workbookView xWindow="-120" yWindow="-120" windowWidth="29040" windowHeight="15840" xr2:uid="{346724B3-1C49-40AE-AA36-C77CF5D6DD09}"/>
  </bookViews>
  <sheets>
    <sheet name="Data" sheetId="1" r:id="rId1"/>
    <sheet name="Dashboard" sheetId="3" r:id="rId2"/>
    <sheet name="KPI" sheetId="8" r:id="rId3"/>
    <sheet name="Pivot" sheetId="5" r:id="rId4"/>
    <sheet name="pivot1" sheetId="7" r:id="rId5"/>
  </sheets>
  <definedNames>
    <definedName name="Segment_Gender_Value">#N/A</definedName>
    <definedName name="Segment_Order_Mode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8" l="1"/>
  <c r="C4" i="8"/>
  <c r="B4" i="8"/>
  <c r="F4" i="8"/>
  <c r="D4" i="8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O2401" i="1"/>
  <c r="N2401" i="1"/>
  <c r="M2401" i="1"/>
  <c r="O2400" i="1"/>
  <c r="N2400" i="1"/>
  <c r="M2400" i="1"/>
  <c r="O2399" i="1"/>
  <c r="N2399" i="1"/>
  <c r="M2399" i="1"/>
  <c r="O2398" i="1"/>
  <c r="N2398" i="1"/>
  <c r="M2398" i="1"/>
  <c r="O2397" i="1"/>
  <c r="N2397" i="1"/>
  <c r="M2397" i="1"/>
  <c r="O2396" i="1"/>
  <c r="N2396" i="1"/>
  <c r="M2396" i="1"/>
  <c r="O2395" i="1"/>
  <c r="N2395" i="1"/>
  <c r="M2395" i="1"/>
  <c r="O2394" i="1"/>
  <c r="N2394" i="1"/>
  <c r="M2394" i="1"/>
  <c r="O2393" i="1"/>
  <c r="N2393" i="1"/>
  <c r="M2393" i="1"/>
  <c r="O2392" i="1"/>
  <c r="N2392" i="1"/>
  <c r="M2392" i="1"/>
  <c r="O2391" i="1"/>
  <c r="N2391" i="1"/>
  <c r="M2391" i="1"/>
  <c r="O2390" i="1"/>
  <c r="N2390" i="1"/>
  <c r="M2390" i="1"/>
  <c r="O2389" i="1"/>
  <c r="N2389" i="1"/>
  <c r="M2389" i="1"/>
  <c r="O2388" i="1"/>
  <c r="N2388" i="1"/>
  <c r="M2388" i="1"/>
  <c r="O2387" i="1"/>
  <c r="N2387" i="1"/>
  <c r="M2387" i="1"/>
  <c r="O2386" i="1"/>
  <c r="N2386" i="1"/>
  <c r="M2386" i="1"/>
  <c r="O2385" i="1"/>
  <c r="N2385" i="1"/>
  <c r="M2385" i="1"/>
  <c r="O2384" i="1"/>
  <c r="N2384" i="1"/>
  <c r="M2384" i="1"/>
  <c r="O2383" i="1"/>
  <c r="N2383" i="1"/>
  <c r="M2383" i="1"/>
  <c r="O2382" i="1"/>
  <c r="N2382" i="1"/>
  <c r="M2382" i="1"/>
  <c r="O2381" i="1"/>
  <c r="N2381" i="1"/>
  <c r="M2381" i="1"/>
  <c r="O2380" i="1"/>
  <c r="N2380" i="1"/>
  <c r="M2380" i="1"/>
  <c r="O2379" i="1"/>
  <c r="N2379" i="1"/>
  <c r="M2379" i="1"/>
  <c r="O2378" i="1"/>
  <c r="N2378" i="1"/>
  <c r="M2378" i="1"/>
  <c r="O2377" i="1"/>
  <c r="N2377" i="1"/>
  <c r="M2377" i="1"/>
  <c r="O2376" i="1"/>
  <c r="N2376" i="1"/>
  <c r="M2376" i="1"/>
  <c r="O2375" i="1"/>
  <c r="N2375" i="1"/>
  <c r="M2375" i="1"/>
  <c r="O2374" i="1"/>
  <c r="N2374" i="1"/>
  <c r="M2374" i="1"/>
  <c r="O2373" i="1"/>
  <c r="N2373" i="1"/>
  <c r="M2373" i="1"/>
  <c r="O2372" i="1"/>
  <c r="N2372" i="1"/>
  <c r="M2372" i="1"/>
  <c r="O2371" i="1"/>
  <c r="N2371" i="1"/>
  <c r="M2371" i="1"/>
  <c r="O2370" i="1"/>
  <c r="N2370" i="1"/>
  <c r="M2370" i="1"/>
  <c r="O2369" i="1"/>
  <c r="N2369" i="1"/>
  <c r="M2369" i="1"/>
  <c r="O2368" i="1"/>
  <c r="N2368" i="1"/>
  <c r="M2368" i="1"/>
  <c r="O2367" i="1"/>
  <c r="N2367" i="1"/>
  <c r="M2367" i="1"/>
  <c r="O2366" i="1"/>
  <c r="N2366" i="1"/>
  <c r="M2366" i="1"/>
  <c r="O2365" i="1"/>
  <c r="N2365" i="1"/>
  <c r="M2365" i="1"/>
  <c r="O2364" i="1"/>
  <c r="N2364" i="1"/>
  <c r="M2364" i="1"/>
  <c r="O2363" i="1"/>
  <c r="N2363" i="1"/>
  <c r="M2363" i="1"/>
  <c r="O2362" i="1"/>
  <c r="N2362" i="1"/>
  <c r="M2362" i="1"/>
  <c r="O2361" i="1"/>
  <c r="N2361" i="1"/>
  <c r="M2361" i="1"/>
  <c r="O2360" i="1"/>
  <c r="N2360" i="1"/>
  <c r="M2360" i="1"/>
  <c r="O2359" i="1"/>
  <c r="N2359" i="1"/>
  <c r="M2359" i="1"/>
  <c r="O2358" i="1"/>
  <c r="N2358" i="1"/>
  <c r="M2358" i="1"/>
  <c r="O2357" i="1"/>
  <c r="N2357" i="1"/>
  <c r="M2357" i="1"/>
  <c r="O2356" i="1"/>
  <c r="N2356" i="1"/>
  <c r="M2356" i="1"/>
  <c r="O2355" i="1"/>
  <c r="N2355" i="1"/>
  <c r="M2355" i="1"/>
  <c r="O2354" i="1"/>
  <c r="N2354" i="1"/>
  <c r="M2354" i="1"/>
  <c r="O2353" i="1"/>
  <c r="N2353" i="1"/>
  <c r="M2353" i="1"/>
  <c r="O2352" i="1"/>
  <c r="N2352" i="1"/>
  <c r="M2352" i="1"/>
  <c r="O2351" i="1"/>
  <c r="N2351" i="1"/>
  <c r="M2351" i="1"/>
  <c r="O2350" i="1"/>
  <c r="N2350" i="1"/>
  <c r="M2350" i="1"/>
  <c r="O2349" i="1"/>
  <c r="N2349" i="1"/>
  <c r="M2349" i="1"/>
  <c r="O2348" i="1"/>
  <c r="N2348" i="1"/>
  <c r="M2348" i="1"/>
  <c r="O2347" i="1"/>
  <c r="N2347" i="1"/>
  <c r="M2347" i="1"/>
  <c r="O2346" i="1"/>
  <c r="N2346" i="1"/>
  <c r="M2346" i="1"/>
  <c r="O2345" i="1"/>
  <c r="N2345" i="1"/>
  <c r="M2345" i="1"/>
  <c r="O2344" i="1"/>
  <c r="N2344" i="1"/>
  <c r="M2344" i="1"/>
  <c r="O2343" i="1"/>
  <c r="N2343" i="1"/>
  <c r="M2343" i="1"/>
  <c r="O2342" i="1"/>
  <c r="N2342" i="1"/>
  <c r="M2342" i="1"/>
  <c r="O2341" i="1"/>
  <c r="N2341" i="1"/>
  <c r="M2341" i="1"/>
  <c r="O2340" i="1"/>
  <c r="N2340" i="1"/>
  <c r="M2340" i="1"/>
  <c r="O2339" i="1"/>
  <c r="N2339" i="1"/>
  <c r="M2339" i="1"/>
  <c r="O2338" i="1"/>
  <c r="N2338" i="1"/>
  <c r="M2338" i="1"/>
  <c r="O2337" i="1"/>
  <c r="N2337" i="1"/>
  <c r="M2337" i="1"/>
  <c r="O2336" i="1"/>
  <c r="N2336" i="1"/>
  <c r="M2336" i="1"/>
  <c r="O2335" i="1"/>
  <c r="N2335" i="1"/>
  <c r="M2335" i="1"/>
  <c r="O2334" i="1"/>
  <c r="N2334" i="1"/>
  <c r="M2334" i="1"/>
  <c r="O2333" i="1"/>
  <c r="N2333" i="1"/>
  <c r="M2333" i="1"/>
  <c r="O2332" i="1"/>
  <c r="N2332" i="1"/>
  <c r="M2332" i="1"/>
  <c r="O2331" i="1"/>
  <c r="N2331" i="1"/>
  <c r="M2331" i="1"/>
  <c r="O2330" i="1"/>
  <c r="N2330" i="1"/>
  <c r="M2330" i="1"/>
  <c r="O2329" i="1"/>
  <c r="N2329" i="1"/>
  <c r="M2329" i="1"/>
  <c r="O2328" i="1"/>
  <c r="N2328" i="1"/>
  <c r="M2328" i="1"/>
  <c r="O2327" i="1"/>
  <c r="N2327" i="1"/>
  <c r="M2327" i="1"/>
  <c r="O2326" i="1"/>
  <c r="N2326" i="1"/>
  <c r="M2326" i="1"/>
  <c r="O2325" i="1"/>
  <c r="N2325" i="1"/>
  <c r="M2325" i="1"/>
  <c r="O2324" i="1"/>
  <c r="N2324" i="1"/>
  <c r="M2324" i="1"/>
  <c r="O2323" i="1"/>
  <c r="N2323" i="1"/>
  <c r="M2323" i="1"/>
  <c r="O2322" i="1"/>
  <c r="N2322" i="1"/>
  <c r="M2322" i="1"/>
  <c r="O2321" i="1"/>
  <c r="N2321" i="1"/>
  <c r="M2321" i="1"/>
  <c r="O2320" i="1"/>
  <c r="N2320" i="1"/>
  <c r="M2320" i="1"/>
  <c r="O2319" i="1"/>
  <c r="N2319" i="1"/>
  <c r="M2319" i="1"/>
  <c r="O2318" i="1"/>
  <c r="N2318" i="1"/>
  <c r="M2318" i="1"/>
  <c r="O2317" i="1"/>
  <c r="N2317" i="1"/>
  <c r="M2317" i="1"/>
  <c r="O2316" i="1"/>
  <c r="N2316" i="1"/>
  <c r="M2316" i="1"/>
  <c r="O2315" i="1"/>
  <c r="N2315" i="1"/>
  <c r="M2315" i="1"/>
  <c r="O2314" i="1"/>
  <c r="N2314" i="1"/>
  <c r="M2314" i="1"/>
  <c r="O2313" i="1"/>
  <c r="N2313" i="1"/>
  <c r="M2313" i="1"/>
  <c r="O2312" i="1"/>
  <c r="N2312" i="1"/>
  <c r="M2312" i="1"/>
  <c r="O2311" i="1"/>
  <c r="N2311" i="1"/>
  <c r="M2311" i="1"/>
  <c r="O2310" i="1"/>
  <c r="N2310" i="1"/>
  <c r="M2310" i="1"/>
  <c r="O2309" i="1"/>
  <c r="N2309" i="1"/>
  <c r="M2309" i="1"/>
  <c r="O2308" i="1"/>
  <c r="N2308" i="1"/>
  <c r="M2308" i="1"/>
  <c r="O2307" i="1"/>
  <c r="N2307" i="1"/>
  <c r="M2307" i="1"/>
  <c r="O2306" i="1"/>
  <c r="N2306" i="1"/>
  <c r="M2306" i="1"/>
  <c r="O2305" i="1"/>
  <c r="N2305" i="1"/>
  <c r="M2305" i="1"/>
  <c r="O2304" i="1"/>
  <c r="N2304" i="1"/>
  <c r="M2304" i="1"/>
  <c r="O2303" i="1"/>
  <c r="N2303" i="1"/>
  <c r="M2303" i="1"/>
  <c r="O2302" i="1"/>
  <c r="N2302" i="1"/>
  <c r="M2302" i="1"/>
  <c r="O2301" i="1"/>
  <c r="N2301" i="1"/>
  <c r="M2301" i="1"/>
  <c r="O2300" i="1"/>
  <c r="N2300" i="1"/>
  <c r="M2300" i="1"/>
  <c r="O2299" i="1"/>
  <c r="N2299" i="1"/>
  <c r="M2299" i="1"/>
  <c r="O2298" i="1"/>
  <c r="N2298" i="1"/>
  <c r="M2298" i="1"/>
  <c r="O2297" i="1"/>
  <c r="N2297" i="1"/>
  <c r="M2297" i="1"/>
  <c r="O2296" i="1"/>
  <c r="N2296" i="1"/>
  <c r="M2296" i="1"/>
  <c r="O2295" i="1"/>
  <c r="N2295" i="1"/>
  <c r="M2295" i="1"/>
  <c r="O2294" i="1"/>
  <c r="N2294" i="1"/>
  <c r="M2294" i="1"/>
  <c r="O2293" i="1"/>
  <c r="N2293" i="1"/>
  <c r="M2293" i="1"/>
  <c r="O2292" i="1"/>
  <c r="N2292" i="1"/>
  <c r="M2292" i="1"/>
  <c r="O2291" i="1"/>
  <c r="N2291" i="1"/>
  <c r="M2291" i="1"/>
  <c r="O2290" i="1"/>
  <c r="N2290" i="1"/>
  <c r="M2290" i="1"/>
  <c r="O2289" i="1"/>
  <c r="N2289" i="1"/>
  <c r="M2289" i="1"/>
  <c r="O2288" i="1"/>
  <c r="N2288" i="1"/>
  <c r="M2288" i="1"/>
  <c r="O2287" i="1"/>
  <c r="N2287" i="1"/>
  <c r="M2287" i="1"/>
  <c r="O2286" i="1"/>
  <c r="N2286" i="1"/>
  <c r="M2286" i="1"/>
  <c r="O2285" i="1"/>
  <c r="N2285" i="1"/>
  <c r="M2285" i="1"/>
  <c r="O2284" i="1"/>
  <c r="N2284" i="1"/>
  <c r="M2284" i="1"/>
  <c r="O2283" i="1"/>
  <c r="N2283" i="1"/>
  <c r="M2283" i="1"/>
  <c r="O2282" i="1"/>
  <c r="N2282" i="1"/>
  <c r="M2282" i="1"/>
  <c r="O2281" i="1"/>
  <c r="N2281" i="1"/>
  <c r="M2281" i="1"/>
  <c r="O2280" i="1"/>
  <c r="N2280" i="1"/>
  <c r="M2280" i="1"/>
  <c r="O2279" i="1"/>
  <c r="N2279" i="1"/>
  <c r="M2279" i="1"/>
  <c r="O2278" i="1"/>
  <c r="N2278" i="1"/>
  <c r="M2278" i="1"/>
  <c r="O2277" i="1"/>
  <c r="N2277" i="1"/>
  <c r="M2277" i="1"/>
  <c r="O2276" i="1"/>
  <c r="N2276" i="1"/>
  <c r="M2276" i="1"/>
  <c r="O2275" i="1"/>
  <c r="N2275" i="1"/>
  <c r="M2275" i="1"/>
  <c r="O2274" i="1"/>
  <c r="N2274" i="1"/>
  <c r="M2274" i="1"/>
  <c r="O2273" i="1"/>
  <c r="N2273" i="1"/>
  <c r="M2273" i="1"/>
  <c r="O2272" i="1"/>
  <c r="N2272" i="1"/>
  <c r="M2272" i="1"/>
  <c r="O2271" i="1"/>
  <c r="N2271" i="1"/>
  <c r="M2271" i="1"/>
  <c r="O2270" i="1"/>
  <c r="N2270" i="1"/>
  <c r="M2270" i="1"/>
  <c r="O2269" i="1"/>
  <c r="N2269" i="1"/>
  <c r="M2269" i="1"/>
  <c r="O2268" i="1"/>
  <c r="N2268" i="1"/>
  <c r="M2268" i="1"/>
  <c r="O2267" i="1"/>
  <c r="N2267" i="1"/>
  <c r="M2267" i="1"/>
  <c r="O2266" i="1"/>
  <c r="N2266" i="1"/>
  <c r="M2266" i="1"/>
  <c r="O2265" i="1"/>
  <c r="N2265" i="1"/>
  <c r="M2265" i="1"/>
  <c r="O2264" i="1"/>
  <c r="N2264" i="1"/>
  <c r="M2264" i="1"/>
  <c r="O2263" i="1"/>
  <c r="N2263" i="1"/>
  <c r="M2263" i="1"/>
  <c r="O2262" i="1"/>
  <c r="N2262" i="1"/>
  <c r="M2262" i="1"/>
  <c r="O2261" i="1"/>
  <c r="N2261" i="1"/>
  <c r="M2261" i="1"/>
  <c r="O2260" i="1"/>
  <c r="N2260" i="1"/>
  <c r="M2260" i="1"/>
  <c r="O2259" i="1"/>
  <c r="N2259" i="1"/>
  <c r="M2259" i="1"/>
  <c r="O2258" i="1"/>
  <c r="N2258" i="1"/>
  <c r="M2258" i="1"/>
  <c r="O2257" i="1"/>
  <c r="N2257" i="1"/>
  <c r="M2257" i="1"/>
  <c r="O2256" i="1"/>
  <c r="N2256" i="1"/>
  <c r="M2256" i="1"/>
  <c r="O2255" i="1"/>
  <c r="N2255" i="1"/>
  <c r="M2255" i="1"/>
  <c r="O2254" i="1"/>
  <c r="N2254" i="1"/>
  <c r="M2254" i="1"/>
  <c r="O2253" i="1"/>
  <c r="N2253" i="1"/>
  <c r="M2253" i="1"/>
  <c r="O2252" i="1"/>
  <c r="N2252" i="1"/>
  <c r="M2252" i="1"/>
  <c r="O2251" i="1"/>
  <c r="N2251" i="1"/>
  <c r="M2251" i="1"/>
  <c r="O2250" i="1"/>
  <c r="N2250" i="1"/>
  <c r="M2250" i="1"/>
  <c r="O2249" i="1"/>
  <c r="N2249" i="1"/>
  <c r="M2249" i="1"/>
  <c r="O2248" i="1"/>
  <c r="N2248" i="1"/>
  <c r="M2248" i="1"/>
  <c r="O2247" i="1"/>
  <c r="N2247" i="1"/>
  <c r="M2247" i="1"/>
  <c r="O2246" i="1"/>
  <c r="N2246" i="1"/>
  <c r="M2246" i="1"/>
  <c r="O2245" i="1"/>
  <c r="N2245" i="1"/>
  <c r="M2245" i="1"/>
  <c r="O2244" i="1"/>
  <c r="N2244" i="1"/>
  <c r="M2244" i="1"/>
  <c r="O2243" i="1"/>
  <c r="N2243" i="1"/>
  <c r="M2243" i="1"/>
  <c r="O2242" i="1"/>
  <c r="N2242" i="1"/>
  <c r="M2242" i="1"/>
  <c r="O2241" i="1"/>
  <c r="N2241" i="1"/>
  <c r="M2241" i="1"/>
  <c r="O2240" i="1"/>
  <c r="N2240" i="1"/>
  <c r="M2240" i="1"/>
  <c r="O2239" i="1"/>
  <c r="N2239" i="1"/>
  <c r="M2239" i="1"/>
  <c r="O2238" i="1"/>
  <c r="N2238" i="1"/>
  <c r="M2238" i="1"/>
  <c r="O2237" i="1"/>
  <c r="N2237" i="1"/>
  <c r="M2237" i="1"/>
  <c r="O2236" i="1"/>
  <c r="N2236" i="1"/>
  <c r="M2236" i="1"/>
  <c r="O2235" i="1"/>
  <c r="N2235" i="1"/>
  <c r="M2235" i="1"/>
  <c r="O2234" i="1"/>
  <c r="N2234" i="1"/>
  <c r="M2234" i="1"/>
  <c r="O2233" i="1"/>
  <c r="N2233" i="1"/>
  <c r="M2233" i="1"/>
  <c r="O2232" i="1"/>
  <c r="N2232" i="1"/>
  <c r="M2232" i="1"/>
  <c r="O2231" i="1"/>
  <c r="N2231" i="1"/>
  <c r="M2231" i="1"/>
  <c r="O2230" i="1"/>
  <c r="N2230" i="1"/>
  <c r="M2230" i="1"/>
  <c r="O2229" i="1"/>
  <c r="N2229" i="1"/>
  <c r="M2229" i="1"/>
  <c r="O2228" i="1"/>
  <c r="N2228" i="1"/>
  <c r="M2228" i="1"/>
  <c r="O2227" i="1"/>
  <c r="N2227" i="1"/>
  <c r="M2227" i="1"/>
  <c r="O2226" i="1"/>
  <c r="N2226" i="1"/>
  <c r="M2226" i="1"/>
  <c r="O2225" i="1"/>
  <c r="N2225" i="1"/>
  <c r="M2225" i="1"/>
  <c r="O2224" i="1"/>
  <c r="N2224" i="1"/>
  <c r="M2224" i="1"/>
  <c r="O2223" i="1"/>
  <c r="N2223" i="1"/>
  <c r="M2223" i="1"/>
  <c r="O2222" i="1"/>
  <c r="N2222" i="1"/>
  <c r="M2222" i="1"/>
  <c r="O2221" i="1"/>
  <c r="N2221" i="1"/>
  <c r="M2221" i="1"/>
  <c r="O2220" i="1"/>
  <c r="N2220" i="1"/>
  <c r="M2220" i="1"/>
  <c r="O2219" i="1"/>
  <c r="N2219" i="1"/>
  <c r="M2219" i="1"/>
  <c r="O2218" i="1"/>
  <c r="N2218" i="1"/>
  <c r="M2218" i="1"/>
  <c r="O2217" i="1"/>
  <c r="N2217" i="1"/>
  <c r="M2217" i="1"/>
  <c r="O2216" i="1"/>
  <c r="N2216" i="1"/>
  <c r="M2216" i="1"/>
  <c r="O2215" i="1"/>
  <c r="N2215" i="1"/>
  <c r="M2215" i="1"/>
  <c r="O2214" i="1"/>
  <c r="N2214" i="1"/>
  <c r="M2214" i="1"/>
  <c r="O2213" i="1"/>
  <c r="N2213" i="1"/>
  <c r="M2213" i="1"/>
  <c r="O2212" i="1"/>
  <c r="N2212" i="1"/>
  <c r="M2212" i="1"/>
  <c r="O2211" i="1"/>
  <c r="N2211" i="1"/>
  <c r="M2211" i="1"/>
  <c r="O2210" i="1"/>
  <c r="N2210" i="1"/>
  <c r="M2210" i="1"/>
  <c r="O2209" i="1"/>
  <c r="N2209" i="1"/>
  <c r="M2209" i="1"/>
  <c r="O2208" i="1"/>
  <c r="N2208" i="1"/>
  <c r="M2208" i="1"/>
  <c r="O2207" i="1"/>
  <c r="N2207" i="1"/>
  <c r="M2207" i="1"/>
  <c r="O2206" i="1"/>
  <c r="N2206" i="1"/>
  <c r="M2206" i="1"/>
  <c r="O2205" i="1"/>
  <c r="N2205" i="1"/>
  <c r="M2205" i="1"/>
  <c r="O2204" i="1"/>
  <c r="N2204" i="1"/>
  <c r="M2204" i="1"/>
  <c r="O2203" i="1"/>
  <c r="N2203" i="1"/>
  <c r="M2203" i="1"/>
  <c r="O2202" i="1"/>
  <c r="N2202" i="1"/>
  <c r="M2202" i="1"/>
  <c r="O2201" i="1"/>
  <c r="N2201" i="1"/>
  <c r="M2201" i="1"/>
  <c r="O2200" i="1"/>
  <c r="N2200" i="1"/>
  <c r="M2200" i="1"/>
  <c r="O2199" i="1"/>
  <c r="N2199" i="1"/>
  <c r="M2199" i="1"/>
  <c r="O2198" i="1"/>
  <c r="N2198" i="1"/>
  <c r="M2198" i="1"/>
  <c r="O2197" i="1"/>
  <c r="N2197" i="1"/>
  <c r="M2197" i="1"/>
  <c r="O2196" i="1"/>
  <c r="N2196" i="1"/>
  <c r="M2196" i="1"/>
  <c r="O2195" i="1"/>
  <c r="N2195" i="1"/>
  <c r="M2195" i="1"/>
  <c r="O2194" i="1"/>
  <c r="N2194" i="1"/>
  <c r="M2194" i="1"/>
  <c r="O2193" i="1"/>
  <c r="N2193" i="1"/>
  <c r="M2193" i="1"/>
  <c r="O2192" i="1"/>
  <c r="N2192" i="1"/>
  <c r="M2192" i="1"/>
  <c r="O2191" i="1"/>
  <c r="N2191" i="1"/>
  <c r="M2191" i="1"/>
  <c r="O2190" i="1"/>
  <c r="N2190" i="1"/>
  <c r="M2190" i="1"/>
  <c r="O2189" i="1"/>
  <c r="N2189" i="1"/>
  <c r="M2189" i="1"/>
  <c r="O2188" i="1"/>
  <c r="N2188" i="1"/>
  <c r="M2188" i="1"/>
  <c r="O2187" i="1"/>
  <c r="N2187" i="1"/>
  <c r="M2187" i="1"/>
  <c r="O2186" i="1"/>
  <c r="N2186" i="1"/>
  <c r="M2186" i="1"/>
  <c r="O2185" i="1"/>
  <c r="N2185" i="1"/>
  <c r="M2185" i="1"/>
  <c r="O2184" i="1"/>
  <c r="N2184" i="1"/>
  <c r="M2184" i="1"/>
  <c r="O2183" i="1"/>
  <c r="N2183" i="1"/>
  <c r="M2183" i="1"/>
  <c r="O2182" i="1"/>
  <c r="N2182" i="1"/>
  <c r="M2182" i="1"/>
  <c r="O2181" i="1"/>
  <c r="N2181" i="1"/>
  <c r="M2181" i="1"/>
  <c r="O2180" i="1"/>
  <c r="N2180" i="1"/>
  <c r="M2180" i="1"/>
  <c r="O2179" i="1"/>
  <c r="N2179" i="1"/>
  <c r="M2179" i="1"/>
  <c r="O2178" i="1"/>
  <c r="N2178" i="1"/>
  <c r="M2178" i="1"/>
  <c r="O2177" i="1"/>
  <c r="N2177" i="1"/>
  <c r="M2177" i="1"/>
  <c r="O2176" i="1"/>
  <c r="N2176" i="1"/>
  <c r="M2176" i="1"/>
  <c r="O2175" i="1"/>
  <c r="N2175" i="1"/>
  <c r="M2175" i="1"/>
  <c r="O2174" i="1"/>
  <c r="N2174" i="1"/>
  <c r="M2174" i="1"/>
  <c r="O2173" i="1"/>
  <c r="N2173" i="1"/>
  <c r="M2173" i="1"/>
  <c r="O2172" i="1"/>
  <c r="N2172" i="1"/>
  <c r="M2172" i="1"/>
  <c r="O2171" i="1"/>
  <c r="N2171" i="1"/>
  <c r="M2171" i="1"/>
  <c r="O2170" i="1"/>
  <c r="N2170" i="1"/>
  <c r="M2170" i="1"/>
  <c r="O2169" i="1"/>
  <c r="N2169" i="1"/>
  <c r="M2169" i="1"/>
  <c r="O2168" i="1"/>
  <c r="N2168" i="1"/>
  <c r="M2168" i="1"/>
  <c r="O2167" i="1"/>
  <c r="N2167" i="1"/>
  <c r="M2167" i="1"/>
  <c r="O2166" i="1"/>
  <c r="N2166" i="1"/>
  <c r="M2166" i="1"/>
  <c r="O2165" i="1"/>
  <c r="N2165" i="1"/>
  <c r="M2165" i="1"/>
  <c r="O2164" i="1"/>
  <c r="N2164" i="1"/>
  <c r="M2164" i="1"/>
  <c r="O2163" i="1"/>
  <c r="N2163" i="1"/>
  <c r="M2163" i="1"/>
  <c r="O2162" i="1"/>
  <c r="N2162" i="1"/>
  <c r="M2162" i="1"/>
  <c r="O2161" i="1"/>
  <c r="N2161" i="1"/>
  <c r="M2161" i="1"/>
  <c r="O2160" i="1"/>
  <c r="N2160" i="1"/>
  <c r="M2160" i="1"/>
  <c r="O2159" i="1"/>
  <c r="N2159" i="1"/>
  <c r="M2159" i="1"/>
  <c r="O2158" i="1"/>
  <c r="N2158" i="1"/>
  <c r="M2158" i="1"/>
  <c r="O2157" i="1"/>
  <c r="N2157" i="1"/>
  <c r="M2157" i="1"/>
  <c r="O2156" i="1"/>
  <c r="N2156" i="1"/>
  <c r="M2156" i="1"/>
  <c r="O2155" i="1"/>
  <c r="N2155" i="1"/>
  <c r="M2155" i="1"/>
  <c r="O2154" i="1"/>
  <c r="N2154" i="1"/>
  <c r="M2154" i="1"/>
  <c r="O2153" i="1"/>
  <c r="N2153" i="1"/>
  <c r="M2153" i="1"/>
  <c r="O2152" i="1"/>
  <c r="N2152" i="1"/>
  <c r="M2152" i="1"/>
  <c r="O2151" i="1"/>
  <c r="N2151" i="1"/>
  <c r="M2151" i="1"/>
  <c r="O2150" i="1"/>
  <c r="N2150" i="1"/>
  <c r="M2150" i="1"/>
  <c r="O2149" i="1"/>
  <c r="N2149" i="1"/>
  <c r="M2149" i="1"/>
  <c r="O2148" i="1"/>
  <c r="N2148" i="1"/>
  <c r="M2148" i="1"/>
  <c r="O2147" i="1"/>
  <c r="N2147" i="1"/>
  <c r="M2147" i="1"/>
  <c r="O2146" i="1"/>
  <c r="N2146" i="1"/>
  <c r="M2146" i="1"/>
  <c r="O2145" i="1"/>
  <c r="N2145" i="1"/>
  <c r="M2145" i="1"/>
  <c r="O2144" i="1"/>
  <c r="N2144" i="1"/>
  <c r="M2144" i="1"/>
  <c r="O2143" i="1"/>
  <c r="N2143" i="1"/>
  <c r="M2143" i="1"/>
  <c r="O2142" i="1"/>
  <c r="N2142" i="1"/>
  <c r="M2142" i="1"/>
  <c r="O2141" i="1"/>
  <c r="N2141" i="1"/>
  <c r="M2141" i="1"/>
  <c r="O2140" i="1"/>
  <c r="N2140" i="1"/>
  <c r="M2140" i="1"/>
  <c r="O2139" i="1"/>
  <c r="N2139" i="1"/>
  <c r="M2139" i="1"/>
  <c r="O2138" i="1"/>
  <c r="N2138" i="1"/>
  <c r="M2138" i="1"/>
  <c r="O2137" i="1"/>
  <c r="N2137" i="1"/>
  <c r="M2137" i="1"/>
  <c r="O2136" i="1"/>
  <c r="N2136" i="1"/>
  <c r="M2136" i="1"/>
  <c r="O2135" i="1"/>
  <c r="N2135" i="1"/>
  <c r="M2135" i="1"/>
  <c r="O2134" i="1"/>
  <c r="N2134" i="1"/>
  <c r="M2134" i="1"/>
  <c r="O2133" i="1"/>
  <c r="N2133" i="1"/>
  <c r="M2133" i="1"/>
  <c r="O2132" i="1"/>
  <c r="N2132" i="1"/>
  <c r="M2132" i="1"/>
  <c r="O2131" i="1"/>
  <c r="N2131" i="1"/>
  <c r="M2131" i="1"/>
  <c r="O2130" i="1"/>
  <c r="N2130" i="1"/>
  <c r="M2130" i="1"/>
  <c r="O2129" i="1"/>
  <c r="N2129" i="1"/>
  <c r="M2129" i="1"/>
  <c r="O2128" i="1"/>
  <c r="N2128" i="1"/>
  <c r="M2128" i="1"/>
  <c r="O2127" i="1"/>
  <c r="N2127" i="1"/>
  <c r="M2127" i="1"/>
  <c r="O2126" i="1"/>
  <c r="N2126" i="1"/>
  <c r="M2126" i="1"/>
  <c r="O2125" i="1"/>
  <c r="N2125" i="1"/>
  <c r="M2125" i="1"/>
  <c r="O2124" i="1"/>
  <c r="N2124" i="1"/>
  <c r="M2124" i="1"/>
  <c r="O2123" i="1"/>
  <c r="N2123" i="1"/>
  <c r="M2123" i="1"/>
  <c r="O2122" i="1"/>
  <c r="N2122" i="1"/>
  <c r="M2122" i="1"/>
  <c r="O2121" i="1"/>
  <c r="N2121" i="1"/>
  <c r="M2121" i="1"/>
  <c r="O2120" i="1"/>
  <c r="N2120" i="1"/>
  <c r="M2120" i="1"/>
  <c r="O2119" i="1"/>
  <c r="N2119" i="1"/>
  <c r="M2119" i="1"/>
  <c r="O2118" i="1"/>
  <c r="N2118" i="1"/>
  <c r="M2118" i="1"/>
  <c r="O2117" i="1"/>
  <c r="N2117" i="1"/>
  <c r="M2117" i="1"/>
  <c r="O2116" i="1"/>
  <c r="N2116" i="1"/>
  <c r="M2116" i="1"/>
  <c r="O2115" i="1"/>
  <c r="N2115" i="1"/>
  <c r="M2115" i="1"/>
  <c r="O2114" i="1"/>
  <c r="N2114" i="1"/>
  <c r="M2114" i="1"/>
  <c r="O2113" i="1"/>
  <c r="N2113" i="1"/>
  <c r="M2113" i="1"/>
  <c r="O2112" i="1"/>
  <c r="N2112" i="1"/>
  <c r="M2112" i="1"/>
  <c r="O2111" i="1"/>
  <c r="N2111" i="1"/>
  <c r="M2111" i="1"/>
  <c r="O2110" i="1"/>
  <c r="N2110" i="1"/>
  <c r="M2110" i="1"/>
  <c r="O2109" i="1"/>
  <c r="N2109" i="1"/>
  <c r="M2109" i="1"/>
  <c r="O2108" i="1"/>
  <c r="N2108" i="1"/>
  <c r="M2108" i="1"/>
  <c r="O2107" i="1"/>
  <c r="N2107" i="1"/>
  <c r="M2107" i="1"/>
  <c r="O2106" i="1"/>
  <c r="N2106" i="1"/>
  <c r="M2106" i="1"/>
  <c r="O2105" i="1"/>
  <c r="N2105" i="1"/>
  <c r="M2105" i="1"/>
  <c r="O2104" i="1"/>
  <c r="N2104" i="1"/>
  <c r="M2104" i="1"/>
  <c r="O2103" i="1"/>
  <c r="N2103" i="1"/>
  <c r="M2103" i="1"/>
  <c r="O2102" i="1"/>
  <c r="N2102" i="1"/>
  <c r="M2102" i="1"/>
  <c r="O2101" i="1"/>
  <c r="N2101" i="1"/>
  <c r="M2101" i="1"/>
  <c r="O2100" i="1"/>
  <c r="N2100" i="1"/>
  <c r="M2100" i="1"/>
  <c r="O2099" i="1"/>
  <c r="N2099" i="1"/>
  <c r="M2099" i="1"/>
  <c r="O2098" i="1"/>
  <c r="N2098" i="1"/>
  <c r="M2098" i="1"/>
  <c r="O2097" i="1"/>
  <c r="N2097" i="1"/>
  <c r="M2097" i="1"/>
  <c r="O2096" i="1"/>
  <c r="N2096" i="1"/>
  <c r="M2096" i="1"/>
  <c r="O2095" i="1"/>
  <c r="N2095" i="1"/>
  <c r="M2095" i="1"/>
  <c r="O2094" i="1"/>
  <c r="N2094" i="1"/>
  <c r="M2094" i="1"/>
  <c r="O2093" i="1"/>
  <c r="N2093" i="1"/>
  <c r="M2093" i="1"/>
  <c r="O2092" i="1"/>
  <c r="N2092" i="1"/>
  <c r="M2092" i="1"/>
  <c r="O2091" i="1"/>
  <c r="N2091" i="1"/>
  <c r="M2091" i="1"/>
  <c r="O2090" i="1"/>
  <c r="N2090" i="1"/>
  <c r="M2090" i="1"/>
  <c r="O2089" i="1"/>
  <c r="N2089" i="1"/>
  <c r="M2089" i="1"/>
  <c r="O2088" i="1"/>
  <c r="N2088" i="1"/>
  <c r="M2088" i="1"/>
  <c r="O2087" i="1"/>
  <c r="N2087" i="1"/>
  <c r="M2087" i="1"/>
  <c r="O2086" i="1"/>
  <c r="N2086" i="1"/>
  <c r="M2086" i="1"/>
  <c r="O2085" i="1"/>
  <c r="N2085" i="1"/>
  <c r="M2085" i="1"/>
  <c r="O2084" i="1"/>
  <c r="N2084" i="1"/>
  <c r="M2084" i="1"/>
  <c r="O2083" i="1"/>
  <c r="N2083" i="1"/>
  <c r="M2083" i="1"/>
  <c r="O2082" i="1"/>
  <c r="N2082" i="1"/>
  <c r="M2082" i="1"/>
  <c r="O2081" i="1"/>
  <c r="N2081" i="1"/>
  <c r="M2081" i="1"/>
  <c r="O2080" i="1"/>
  <c r="N2080" i="1"/>
  <c r="M2080" i="1"/>
  <c r="O2079" i="1"/>
  <c r="N2079" i="1"/>
  <c r="M2079" i="1"/>
  <c r="O2078" i="1"/>
  <c r="N2078" i="1"/>
  <c r="M2078" i="1"/>
  <c r="O2077" i="1"/>
  <c r="N2077" i="1"/>
  <c r="M2077" i="1"/>
  <c r="O2076" i="1"/>
  <c r="N2076" i="1"/>
  <c r="M2076" i="1"/>
  <c r="O2075" i="1"/>
  <c r="N2075" i="1"/>
  <c r="M2075" i="1"/>
  <c r="O2074" i="1"/>
  <c r="N2074" i="1"/>
  <c r="M2074" i="1"/>
  <c r="O2073" i="1"/>
  <c r="N2073" i="1"/>
  <c r="M2073" i="1"/>
  <c r="O2072" i="1"/>
  <c r="N2072" i="1"/>
  <c r="M2072" i="1"/>
  <c r="O2071" i="1"/>
  <c r="N2071" i="1"/>
  <c r="M2071" i="1"/>
  <c r="O2070" i="1"/>
  <c r="N2070" i="1"/>
  <c r="M2070" i="1"/>
  <c r="O2069" i="1"/>
  <c r="N2069" i="1"/>
  <c r="M2069" i="1"/>
  <c r="O2068" i="1"/>
  <c r="N2068" i="1"/>
  <c r="M2068" i="1"/>
  <c r="O2067" i="1"/>
  <c r="N2067" i="1"/>
  <c r="M2067" i="1"/>
  <c r="O2066" i="1"/>
  <c r="N2066" i="1"/>
  <c r="M2066" i="1"/>
  <c r="O2065" i="1"/>
  <c r="N2065" i="1"/>
  <c r="M2065" i="1"/>
  <c r="O2064" i="1"/>
  <c r="N2064" i="1"/>
  <c r="M2064" i="1"/>
  <c r="O2063" i="1"/>
  <c r="N2063" i="1"/>
  <c r="M2063" i="1"/>
  <c r="O2062" i="1"/>
  <c r="N2062" i="1"/>
  <c r="M2062" i="1"/>
  <c r="O2061" i="1"/>
  <c r="N2061" i="1"/>
  <c r="M2061" i="1"/>
  <c r="O2060" i="1"/>
  <c r="N2060" i="1"/>
  <c r="M2060" i="1"/>
  <c r="O2059" i="1"/>
  <c r="N2059" i="1"/>
  <c r="M2059" i="1"/>
  <c r="O2058" i="1"/>
  <c r="N2058" i="1"/>
  <c r="M2058" i="1"/>
  <c r="O2057" i="1"/>
  <c r="N2057" i="1"/>
  <c r="M2057" i="1"/>
  <c r="O2056" i="1"/>
  <c r="N2056" i="1"/>
  <c r="M2056" i="1"/>
  <c r="O2055" i="1"/>
  <c r="N2055" i="1"/>
  <c r="M2055" i="1"/>
  <c r="O2054" i="1"/>
  <c r="N2054" i="1"/>
  <c r="M2054" i="1"/>
  <c r="O2053" i="1"/>
  <c r="N2053" i="1"/>
  <c r="M2053" i="1"/>
  <c r="O2052" i="1"/>
  <c r="N2052" i="1"/>
  <c r="M2052" i="1"/>
  <c r="O2051" i="1"/>
  <c r="N2051" i="1"/>
  <c r="M2051" i="1"/>
  <c r="O2050" i="1"/>
  <c r="N2050" i="1"/>
  <c r="M2050" i="1"/>
  <c r="O2049" i="1"/>
  <c r="N2049" i="1"/>
  <c r="M2049" i="1"/>
  <c r="O2048" i="1"/>
  <c r="N2048" i="1"/>
  <c r="M2048" i="1"/>
  <c r="O2047" i="1"/>
  <c r="N2047" i="1"/>
  <c r="M2047" i="1"/>
  <c r="O2046" i="1"/>
  <c r="N2046" i="1"/>
  <c r="M2046" i="1"/>
  <c r="O2045" i="1"/>
  <c r="N2045" i="1"/>
  <c r="M2045" i="1"/>
  <c r="O2044" i="1"/>
  <c r="N2044" i="1"/>
  <c r="M2044" i="1"/>
  <c r="O2043" i="1"/>
  <c r="N2043" i="1"/>
  <c r="M2043" i="1"/>
  <c r="O2042" i="1"/>
  <c r="N2042" i="1"/>
  <c r="M2042" i="1"/>
  <c r="O2041" i="1"/>
  <c r="N2041" i="1"/>
  <c r="M2041" i="1"/>
  <c r="O2040" i="1"/>
  <c r="N2040" i="1"/>
  <c r="M2040" i="1"/>
  <c r="O2039" i="1"/>
  <c r="N2039" i="1"/>
  <c r="M2039" i="1"/>
  <c r="O2038" i="1"/>
  <c r="N2038" i="1"/>
  <c r="M2038" i="1"/>
  <c r="O2037" i="1"/>
  <c r="N2037" i="1"/>
  <c r="M2037" i="1"/>
  <c r="O2036" i="1"/>
  <c r="N2036" i="1"/>
  <c r="M2036" i="1"/>
  <c r="O2035" i="1"/>
  <c r="N2035" i="1"/>
  <c r="M2035" i="1"/>
  <c r="O2034" i="1"/>
  <c r="N2034" i="1"/>
  <c r="M2034" i="1"/>
  <c r="O2033" i="1"/>
  <c r="N2033" i="1"/>
  <c r="M2033" i="1"/>
  <c r="O2032" i="1"/>
  <c r="N2032" i="1"/>
  <c r="M2032" i="1"/>
  <c r="O2031" i="1"/>
  <c r="N2031" i="1"/>
  <c r="M2031" i="1"/>
  <c r="O2030" i="1"/>
  <c r="N2030" i="1"/>
  <c r="M2030" i="1"/>
  <c r="O2029" i="1"/>
  <c r="N2029" i="1"/>
  <c r="M2029" i="1"/>
  <c r="O2028" i="1"/>
  <c r="N2028" i="1"/>
  <c r="M2028" i="1"/>
  <c r="O2027" i="1"/>
  <c r="N2027" i="1"/>
  <c r="M2027" i="1"/>
  <c r="O2026" i="1"/>
  <c r="N2026" i="1"/>
  <c r="M2026" i="1"/>
  <c r="O2025" i="1"/>
  <c r="N2025" i="1"/>
  <c r="M2025" i="1"/>
  <c r="O2024" i="1"/>
  <c r="N2024" i="1"/>
  <c r="M2024" i="1"/>
  <c r="O2023" i="1"/>
  <c r="N2023" i="1"/>
  <c r="M2023" i="1"/>
  <c r="O2022" i="1"/>
  <c r="N2022" i="1"/>
  <c r="M2022" i="1"/>
  <c r="O2021" i="1"/>
  <c r="N2021" i="1"/>
  <c r="M2021" i="1"/>
  <c r="O2020" i="1"/>
  <c r="N2020" i="1"/>
  <c r="M2020" i="1"/>
  <c r="O2019" i="1"/>
  <c r="N2019" i="1"/>
  <c r="M2019" i="1"/>
  <c r="O2018" i="1"/>
  <c r="N2018" i="1"/>
  <c r="M2018" i="1"/>
  <c r="O2017" i="1"/>
  <c r="N2017" i="1"/>
  <c r="M2017" i="1"/>
  <c r="O2016" i="1"/>
  <c r="N2016" i="1"/>
  <c r="M2016" i="1"/>
  <c r="O2015" i="1"/>
  <c r="N2015" i="1"/>
  <c r="M2015" i="1"/>
  <c r="O2014" i="1"/>
  <c r="N2014" i="1"/>
  <c r="M2014" i="1"/>
  <c r="O2013" i="1"/>
  <c r="N2013" i="1"/>
  <c r="M2013" i="1"/>
  <c r="O2012" i="1"/>
  <c r="N2012" i="1"/>
  <c r="M2012" i="1"/>
  <c r="O2011" i="1"/>
  <c r="N2011" i="1"/>
  <c r="M2011" i="1"/>
  <c r="O2010" i="1"/>
  <c r="N2010" i="1"/>
  <c r="M2010" i="1"/>
  <c r="O2009" i="1"/>
  <c r="N2009" i="1"/>
  <c r="M2009" i="1"/>
  <c r="O2008" i="1"/>
  <c r="N2008" i="1"/>
  <c r="M2008" i="1"/>
  <c r="O2007" i="1"/>
  <c r="N2007" i="1"/>
  <c r="M2007" i="1"/>
  <c r="O2006" i="1"/>
  <c r="N2006" i="1"/>
  <c r="M2006" i="1"/>
  <c r="O2005" i="1"/>
  <c r="N2005" i="1"/>
  <c r="M2005" i="1"/>
  <c r="O2004" i="1"/>
  <c r="N2004" i="1"/>
  <c r="M2004" i="1"/>
  <c r="O2003" i="1"/>
  <c r="N2003" i="1"/>
  <c r="M2003" i="1"/>
  <c r="O2002" i="1"/>
  <c r="N2002" i="1"/>
  <c r="M2002" i="1"/>
  <c r="O2001" i="1"/>
  <c r="N2001" i="1"/>
  <c r="M2001" i="1"/>
  <c r="O2000" i="1"/>
  <c r="N2000" i="1"/>
  <c r="M2000" i="1"/>
  <c r="O1999" i="1"/>
  <c r="N1999" i="1"/>
  <c r="M1999" i="1"/>
  <c r="O1998" i="1"/>
  <c r="N1998" i="1"/>
  <c r="M1998" i="1"/>
  <c r="O1997" i="1"/>
  <c r="N1997" i="1"/>
  <c r="M1997" i="1"/>
  <c r="O1996" i="1"/>
  <c r="N1996" i="1"/>
  <c r="M1996" i="1"/>
  <c r="O1995" i="1"/>
  <c r="N1995" i="1"/>
  <c r="M1995" i="1"/>
  <c r="O1994" i="1"/>
  <c r="N1994" i="1"/>
  <c r="M1994" i="1"/>
  <c r="O1993" i="1"/>
  <c r="N1993" i="1"/>
  <c r="M1993" i="1"/>
  <c r="O1992" i="1"/>
  <c r="N1992" i="1"/>
  <c r="M1992" i="1"/>
  <c r="O1991" i="1"/>
  <c r="N1991" i="1"/>
  <c r="M1991" i="1"/>
  <c r="O1990" i="1"/>
  <c r="N1990" i="1"/>
  <c r="M1990" i="1"/>
  <c r="O1989" i="1"/>
  <c r="N1989" i="1"/>
  <c r="M1989" i="1"/>
  <c r="O1988" i="1"/>
  <c r="N1988" i="1"/>
  <c r="M1988" i="1"/>
  <c r="O1987" i="1"/>
  <c r="N1987" i="1"/>
  <c r="M1987" i="1"/>
  <c r="O1986" i="1"/>
  <c r="N1986" i="1"/>
  <c r="M1986" i="1"/>
  <c r="O1985" i="1"/>
  <c r="N1985" i="1"/>
  <c r="M1985" i="1"/>
  <c r="O1984" i="1"/>
  <c r="N1984" i="1"/>
  <c r="M1984" i="1"/>
  <c r="O1983" i="1"/>
  <c r="N1983" i="1"/>
  <c r="M1983" i="1"/>
  <c r="O1982" i="1"/>
  <c r="N1982" i="1"/>
  <c r="M1982" i="1"/>
  <c r="O1981" i="1"/>
  <c r="N1981" i="1"/>
  <c r="M1981" i="1"/>
  <c r="O1980" i="1"/>
  <c r="N1980" i="1"/>
  <c r="M1980" i="1"/>
  <c r="O1979" i="1"/>
  <c r="N1979" i="1"/>
  <c r="M1979" i="1"/>
  <c r="O1978" i="1"/>
  <c r="N1978" i="1"/>
  <c r="M1978" i="1"/>
  <c r="O1977" i="1"/>
  <c r="N1977" i="1"/>
  <c r="M1977" i="1"/>
  <c r="O1976" i="1"/>
  <c r="N1976" i="1"/>
  <c r="M1976" i="1"/>
  <c r="O1975" i="1"/>
  <c r="N1975" i="1"/>
  <c r="M1975" i="1"/>
  <c r="O1974" i="1"/>
  <c r="N1974" i="1"/>
  <c r="M1974" i="1"/>
  <c r="O1973" i="1"/>
  <c r="N1973" i="1"/>
  <c r="M1973" i="1"/>
  <c r="O1972" i="1"/>
  <c r="N1972" i="1"/>
  <c r="M1972" i="1"/>
  <c r="O1971" i="1"/>
  <c r="N1971" i="1"/>
  <c r="M1971" i="1"/>
  <c r="O1970" i="1"/>
  <c r="N1970" i="1"/>
  <c r="M1970" i="1"/>
  <c r="O1969" i="1"/>
  <c r="N1969" i="1"/>
  <c r="M1969" i="1"/>
  <c r="O1968" i="1"/>
  <c r="N1968" i="1"/>
  <c r="M1968" i="1"/>
  <c r="O1967" i="1"/>
  <c r="N1967" i="1"/>
  <c r="M1967" i="1"/>
  <c r="O1966" i="1"/>
  <c r="N1966" i="1"/>
  <c r="M1966" i="1"/>
  <c r="O1965" i="1"/>
  <c r="N1965" i="1"/>
  <c r="M1965" i="1"/>
  <c r="O1964" i="1"/>
  <c r="N1964" i="1"/>
  <c r="M1964" i="1"/>
  <c r="O1963" i="1"/>
  <c r="N1963" i="1"/>
  <c r="M1963" i="1"/>
  <c r="O1962" i="1"/>
  <c r="N1962" i="1"/>
  <c r="M1962" i="1"/>
  <c r="O1961" i="1"/>
  <c r="N1961" i="1"/>
  <c r="M1961" i="1"/>
  <c r="O1960" i="1"/>
  <c r="N1960" i="1"/>
  <c r="M1960" i="1"/>
  <c r="O1959" i="1"/>
  <c r="N1959" i="1"/>
  <c r="M1959" i="1"/>
  <c r="O1958" i="1"/>
  <c r="N1958" i="1"/>
  <c r="M1958" i="1"/>
  <c r="O1957" i="1"/>
  <c r="N1957" i="1"/>
  <c r="M1957" i="1"/>
  <c r="O1956" i="1"/>
  <c r="N1956" i="1"/>
  <c r="M1956" i="1"/>
  <c r="O1955" i="1"/>
  <c r="N1955" i="1"/>
  <c r="M1955" i="1"/>
  <c r="O1954" i="1"/>
  <c r="N1954" i="1"/>
  <c r="M1954" i="1"/>
  <c r="O1953" i="1"/>
  <c r="N1953" i="1"/>
  <c r="M1953" i="1"/>
  <c r="O1952" i="1"/>
  <c r="N1952" i="1"/>
  <c r="M1952" i="1"/>
  <c r="O1951" i="1"/>
  <c r="N1951" i="1"/>
  <c r="M1951" i="1"/>
  <c r="O1950" i="1"/>
  <c r="N1950" i="1"/>
  <c r="M1950" i="1"/>
  <c r="O1949" i="1"/>
  <c r="N1949" i="1"/>
  <c r="M1949" i="1"/>
  <c r="O1948" i="1"/>
  <c r="N1948" i="1"/>
  <c r="M1948" i="1"/>
  <c r="O1947" i="1"/>
  <c r="N1947" i="1"/>
  <c r="M1947" i="1"/>
  <c r="O1946" i="1"/>
  <c r="N1946" i="1"/>
  <c r="M1946" i="1"/>
  <c r="O1945" i="1"/>
  <c r="N1945" i="1"/>
  <c r="M1945" i="1"/>
  <c r="O1944" i="1"/>
  <c r="N1944" i="1"/>
  <c r="M1944" i="1"/>
  <c r="O1943" i="1"/>
  <c r="N1943" i="1"/>
  <c r="M1943" i="1"/>
  <c r="O1942" i="1"/>
  <c r="N1942" i="1"/>
  <c r="M1942" i="1"/>
  <c r="O1941" i="1"/>
  <c r="N1941" i="1"/>
  <c r="M1941" i="1"/>
  <c r="O1940" i="1"/>
  <c r="N1940" i="1"/>
  <c r="M1940" i="1"/>
  <c r="O1939" i="1"/>
  <c r="N1939" i="1"/>
  <c r="M1939" i="1"/>
  <c r="O1938" i="1"/>
  <c r="N1938" i="1"/>
  <c r="M1938" i="1"/>
  <c r="O1937" i="1"/>
  <c r="N1937" i="1"/>
  <c r="M1937" i="1"/>
  <c r="O1936" i="1"/>
  <c r="N1936" i="1"/>
  <c r="M1936" i="1"/>
  <c r="O1935" i="1"/>
  <c r="N1935" i="1"/>
  <c r="M1935" i="1"/>
  <c r="O1934" i="1"/>
  <c r="N1934" i="1"/>
  <c r="M1934" i="1"/>
  <c r="O1933" i="1"/>
  <c r="N1933" i="1"/>
  <c r="M1933" i="1"/>
  <c r="O1932" i="1"/>
  <c r="N1932" i="1"/>
  <c r="M1932" i="1"/>
  <c r="O1931" i="1"/>
  <c r="N1931" i="1"/>
  <c r="M1931" i="1"/>
  <c r="O1930" i="1"/>
  <c r="N1930" i="1"/>
  <c r="M1930" i="1"/>
  <c r="O1929" i="1"/>
  <c r="N1929" i="1"/>
  <c r="M1929" i="1"/>
  <c r="O1928" i="1"/>
  <c r="N1928" i="1"/>
  <c r="M1928" i="1"/>
  <c r="O1927" i="1"/>
  <c r="N1927" i="1"/>
  <c r="M1927" i="1"/>
  <c r="O1926" i="1"/>
  <c r="N1926" i="1"/>
  <c r="M1926" i="1"/>
  <c r="O1925" i="1"/>
  <c r="N1925" i="1"/>
  <c r="M1925" i="1"/>
  <c r="O1924" i="1"/>
  <c r="N1924" i="1"/>
  <c r="M1924" i="1"/>
  <c r="O1923" i="1"/>
  <c r="N1923" i="1"/>
  <c r="M1923" i="1"/>
  <c r="O1922" i="1"/>
  <c r="N1922" i="1"/>
  <c r="M1922" i="1"/>
  <c r="O1921" i="1"/>
  <c r="N1921" i="1"/>
  <c r="M1921" i="1"/>
  <c r="O1920" i="1"/>
  <c r="N1920" i="1"/>
  <c r="M1920" i="1"/>
  <c r="O1919" i="1"/>
  <c r="N1919" i="1"/>
  <c r="M1919" i="1"/>
  <c r="O1918" i="1"/>
  <c r="N1918" i="1"/>
  <c r="M1918" i="1"/>
  <c r="O1917" i="1"/>
  <c r="N1917" i="1"/>
  <c r="M1917" i="1"/>
  <c r="O1916" i="1"/>
  <c r="N1916" i="1"/>
  <c r="M1916" i="1"/>
  <c r="O1915" i="1"/>
  <c r="N1915" i="1"/>
  <c r="M1915" i="1"/>
  <c r="O1914" i="1"/>
  <c r="N1914" i="1"/>
  <c r="M1914" i="1"/>
  <c r="O1913" i="1"/>
  <c r="N1913" i="1"/>
  <c r="M1913" i="1"/>
  <c r="O1912" i="1"/>
  <c r="N1912" i="1"/>
  <c r="M1912" i="1"/>
  <c r="O1911" i="1"/>
  <c r="N1911" i="1"/>
  <c r="M1911" i="1"/>
  <c r="O1910" i="1"/>
  <c r="N1910" i="1"/>
  <c r="M1910" i="1"/>
  <c r="O1909" i="1"/>
  <c r="N1909" i="1"/>
  <c r="M1909" i="1"/>
  <c r="O1908" i="1"/>
  <c r="N1908" i="1"/>
  <c r="M1908" i="1"/>
  <c r="O1907" i="1"/>
  <c r="N1907" i="1"/>
  <c r="M1907" i="1"/>
  <c r="O1906" i="1"/>
  <c r="N1906" i="1"/>
  <c r="M1906" i="1"/>
  <c r="O1905" i="1"/>
  <c r="N1905" i="1"/>
  <c r="M1905" i="1"/>
  <c r="O1904" i="1"/>
  <c r="N1904" i="1"/>
  <c r="M1904" i="1"/>
  <c r="O1903" i="1"/>
  <c r="N1903" i="1"/>
  <c r="M1903" i="1"/>
  <c r="O1902" i="1"/>
  <c r="N1902" i="1"/>
  <c r="M1902" i="1"/>
  <c r="O1901" i="1"/>
  <c r="N1901" i="1"/>
  <c r="M1901" i="1"/>
  <c r="O1900" i="1"/>
  <c r="N1900" i="1"/>
  <c r="M1900" i="1"/>
  <c r="O1899" i="1"/>
  <c r="N1899" i="1"/>
  <c r="M1899" i="1"/>
  <c r="O1898" i="1"/>
  <c r="N1898" i="1"/>
  <c r="M1898" i="1"/>
  <c r="O1897" i="1"/>
  <c r="N1897" i="1"/>
  <c r="M1897" i="1"/>
  <c r="O1896" i="1"/>
  <c r="N1896" i="1"/>
  <c r="M1896" i="1"/>
  <c r="O1895" i="1"/>
  <c r="N1895" i="1"/>
  <c r="M1895" i="1"/>
  <c r="O1894" i="1"/>
  <c r="N1894" i="1"/>
  <c r="M1894" i="1"/>
  <c r="O1893" i="1"/>
  <c r="N1893" i="1"/>
  <c r="M1893" i="1"/>
  <c r="O1892" i="1"/>
  <c r="N1892" i="1"/>
  <c r="M1892" i="1"/>
  <c r="O1891" i="1"/>
  <c r="N1891" i="1"/>
  <c r="M1891" i="1"/>
  <c r="O1890" i="1"/>
  <c r="N1890" i="1"/>
  <c r="M1890" i="1"/>
  <c r="O1889" i="1"/>
  <c r="N1889" i="1"/>
  <c r="M1889" i="1"/>
  <c r="O1888" i="1"/>
  <c r="N1888" i="1"/>
  <c r="M1888" i="1"/>
  <c r="O1887" i="1"/>
  <c r="N1887" i="1"/>
  <c r="M1887" i="1"/>
  <c r="O1886" i="1"/>
  <c r="N1886" i="1"/>
  <c r="M1886" i="1"/>
  <c r="O1885" i="1"/>
  <c r="N1885" i="1"/>
  <c r="M1885" i="1"/>
  <c r="O1884" i="1"/>
  <c r="N1884" i="1"/>
  <c r="M1884" i="1"/>
  <c r="O1883" i="1"/>
  <c r="N1883" i="1"/>
  <c r="M1883" i="1"/>
  <c r="O1882" i="1"/>
  <c r="N1882" i="1"/>
  <c r="M1882" i="1"/>
  <c r="O1881" i="1"/>
  <c r="N1881" i="1"/>
  <c r="M1881" i="1"/>
  <c r="O1880" i="1"/>
  <c r="N1880" i="1"/>
  <c r="M1880" i="1"/>
  <c r="O1879" i="1"/>
  <c r="N1879" i="1"/>
  <c r="M1879" i="1"/>
  <c r="O1878" i="1"/>
  <c r="N1878" i="1"/>
  <c r="M1878" i="1"/>
  <c r="O1877" i="1"/>
  <c r="N1877" i="1"/>
  <c r="M1877" i="1"/>
  <c r="O1876" i="1"/>
  <c r="N1876" i="1"/>
  <c r="M1876" i="1"/>
  <c r="O1875" i="1"/>
  <c r="N1875" i="1"/>
  <c r="M1875" i="1"/>
  <c r="O1874" i="1"/>
  <c r="N1874" i="1"/>
  <c r="M1874" i="1"/>
  <c r="O1873" i="1"/>
  <c r="N1873" i="1"/>
  <c r="M1873" i="1"/>
  <c r="O1872" i="1"/>
  <c r="N1872" i="1"/>
  <c r="M1872" i="1"/>
  <c r="O1871" i="1"/>
  <c r="N1871" i="1"/>
  <c r="M1871" i="1"/>
  <c r="O1870" i="1"/>
  <c r="N1870" i="1"/>
  <c r="M1870" i="1"/>
  <c r="O1869" i="1"/>
  <c r="N1869" i="1"/>
  <c r="M1869" i="1"/>
  <c r="O1868" i="1"/>
  <c r="N1868" i="1"/>
  <c r="M1868" i="1"/>
  <c r="O1867" i="1"/>
  <c r="N1867" i="1"/>
  <c r="M1867" i="1"/>
  <c r="O1866" i="1"/>
  <c r="N1866" i="1"/>
  <c r="M1866" i="1"/>
  <c r="O1865" i="1"/>
  <c r="N1865" i="1"/>
  <c r="M1865" i="1"/>
  <c r="O1864" i="1"/>
  <c r="N1864" i="1"/>
  <c r="M1864" i="1"/>
  <c r="O1863" i="1"/>
  <c r="N1863" i="1"/>
  <c r="M1863" i="1"/>
  <c r="O1862" i="1"/>
  <c r="N1862" i="1"/>
  <c r="M1862" i="1"/>
  <c r="O1861" i="1"/>
  <c r="N1861" i="1"/>
  <c r="M1861" i="1"/>
  <c r="O1860" i="1"/>
  <c r="N1860" i="1"/>
  <c r="M1860" i="1"/>
  <c r="O1859" i="1"/>
  <c r="N1859" i="1"/>
  <c r="M1859" i="1"/>
  <c r="O1858" i="1"/>
  <c r="N1858" i="1"/>
  <c r="M1858" i="1"/>
  <c r="O1857" i="1"/>
  <c r="N1857" i="1"/>
  <c r="M1857" i="1"/>
  <c r="O1856" i="1"/>
  <c r="N1856" i="1"/>
  <c r="M1856" i="1"/>
  <c r="O1855" i="1"/>
  <c r="N1855" i="1"/>
  <c r="M1855" i="1"/>
  <c r="O1854" i="1"/>
  <c r="N1854" i="1"/>
  <c r="M1854" i="1"/>
  <c r="O1853" i="1"/>
  <c r="N1853" i="1"/>
  <c r="M1853" i="1"/>
  <c r="O1852" i="1"/>
  <c r="N1852" i="1"/>
  <c r="M1852" i="1"/>
  <c r="O1851" i="1"/>
  <c r="N1851" i="1"/>
  <c r="M1851" i="1"/>
  <c r="O1850" i="1"/>
  <c r="N1850" i="1"/>
  <c r="M1850" i="1"/>
  <c r="O1849" i="1"/>
  <c r="N1849" i="1"/>
  <c r="M1849" i="1"/>
  <c r="O1848" i="1"/>
  <c r="N1848" i="1"/>
  <c r="M1848" i="1"/>
  <c r="O1847" i="1"/>
  <c r="N1847" i="1"/>
  <c r="M1847" i="1"/>
  <c r="O1846" i="1"/>
  <c r="N1846" i="1"/>
  <c r="M1846" i="1"/>
  <c r="O1845" i="1"/>
  <c r="N1845" i="1"/>
  <c r="M1845" i="1"/>
  <c r="O1844" i="1"/>
  <c r="N1844" i="1"/>
  <c r="M1844" i="1"/>
  <c r="O1843" i="1"/>
  <c r="N1843" i="1"/>
  <c r="M1843" i="1"/>
  <c r="O1842" i="1"/>
  <c r="N1842" i="1"/>
  <c r="M1842" i="1"/>
  <c r="O1841" i="1"/>
  <c r="N1841" i="1"/>
  <c r="M1841" i="1"/>
  <c r="O1840" i="1"/>
  <c r="N1840" i="1"/>
  <c r="M1840" i="1"/>
  <c r="O1839" i="1"/>
  <c r="N1839" i="1"/>
  <c r="M1839" i="1"/>
  <c r="O1838" i="1"/>
  <c r="N1838" i="1"/>
  <c r="M1838" i="1"/>
  <c r="O1837" i="1"/>
  <c r="N1837" i="1"/>
  <c r="M1837" i="1"/>
  <c r="O1836" i="1"/>
  <c r="N1836" i="1"/>
  <c r="M1836" i="1"/>
  <c r="O1835" i="1"/>
  <c r="N1835" i="1"/>
  <c r="M1835" i="1"/>
  <c r="O1834" i="1"/>
  <c r="N1834" i="1"/>
  <c r="M1834" i="1"/>
  <c r="O1833" i="1"/>
  <c r="N1833" i="1"/>
  <c r="M1833" i="1"/>
  <c r="O1832" i="1"/>
  <c r="N1832" i="1"/>
  <c r="M1832" i="1"/>
  <c r="O1831" i="1"/>
  <c r="N1831" i="1"/>
  <c r="M1831" i="1"/>
  <c r="O1830" i="1"/>
  <c r="N1830" i="1"/>
  <c r="M1830" i="1"/>
  <c r="O1829" i="1"/>
  <c r="N1829" i="1"/>
  <c r="M1829" i="1"/>
  <c r="O1828" i="1"/>
  <c r="N1828" i="1"/>
  <c r="M1828" i="1"/>
  <c r="O1827" i="1"/>
  <c r="N1827" i="1"/>
  <c r="M1827" i="1"/>
  <c r="O1826" i="1"/>
  <c r="N1826" i="1"/>
  <c r="M1826" i="1"/>
  <c r="O1825" i="1"/>
  <c r="N1825" i="1"/>
  <c r="M1825" i="1"/>
  <c r="O1824" i="1"/>
  <c r="N1824" i="1"/>
  <c r="M1824" i="1"/>
  <c r="O1823" i="1"/>
  <c r="N1823" i="1"/>
  <c r="M1823" i="1"/>
  <c r="O1822" i="1"/>
  <c r="N1822" i="1"/>
  <c r="M1822" i="1"/>
  <c r="O1821" i="1"/>
  <c r="N1821" i="1"/>
  <c r="M1821" i="1"/>
  <c r="O1820" i="1"/>
  <c r="N1820" i="1"/>
  <c r="M1820" i="1"/>
  <c r="O1819" i="1"/>
  <c r="N1819" i="1"/>
  <c r="M1819" i="1"/>
  <c r="O1818" i="1"/>
  <c r="N1818" i="1"/>
  <c r="M1818" i="1"/>
  <c r="O1817" i="1"/>
  <c r="N1817" i="1"/>
  <c r="M1817" i="1"/>
  <c r="O1816" i="1"/>
  <c r="N1816" i="1"/>
  <c r="M1816" i="1"/>
  <c r="O1815" i="1"/>
  <c r="N1815" i="1"/>
  <c r="M1815" i="1"/>
  <c r="O1814" i="1"/>
  <c r="N1814" i="1"/>
  <c r="M1814" i="1"/>
  <c r="O1813" i="1"/>
  <c r="N1813" i="1"/>
  <c r="M1813" i="1"/>
  <c r="O1812" i="1"/>
  <c r="N1812" i="1"/>
  <c r="M1812" i="1"/>
  <c r="O1811" i="1"/>
  <c r="N1811" i="1"/>
  <c r="M1811" i="1"/>
  <c r="O1810" i="1"/>
  <c r="N1810" i="1"/>
  <c r="M1810" i="1"/>
  <c r="O1809" i="1"/>
  <c r="N1809" i="1"/>
  <c r="M1809" i="1"/>
  <c r="O1808" i="1"/>
  <c r="N1808" i="1"/>
  <c r="M1808" i="1"/>
  <c r="O1807" i="1"/>
  <c r="N1807" i="1"/>
  <c r="M1807" i="1"/>
  <c r="O1806" i="1"/>
  <c r="N1806" i="1"/>
  <c r="M1806" i="1"/>
  <c r="O1805" i="1"/>
  <c r="N1805" i="1"/>
  <c r="M1805" i="1"/>
  <c r="O1804" i="1"/>
  <c r="N1804" i="1"/>
  <c r="M1804" i="1"/>
  <c r="O1803" i="1"/>
  <c r="N1803" i="1"/>
  <c r="M1803" i="1"/>
  <c r="O1802" i="1"/>
  <c r="N1802" i="1"/>
  <c r="M1802" i="1"/>
  <c r="O1801" i="1"/>
  <c r="N1801" i="1"/>
  <c r="M1801" i="1"/>
  <c r="O1800" i="1"/>
  <c r="N1800" i="1"/>
  <c r="M1800" i="1"/>
  <c r="O1799" i="1"/>
  <c r="N1799" i="1"/>
  <c r="M1799" i="1"/>
  <c r="O1798" i="1"/>
  <c r="N1798" i="1"/>
  <c r="M1798" i="1"/>
  <c r="O1797" i="1"/>
  <c r="N1797" i="1"/>
  <c r="M1797" i="1"/>
  <c r="O1796" i="1"/>
  <c r="N1796" i="1"/>
  <c r="M1796" i="1"/>
  <c r="O1795" i="1"/>
  <c r="N1795" i="1"/>
  <c r="M1795" i="1"/>
  <c r="O1794" i="1"/>
  <c r="N1794" i="1"/>
  <c r="M1794" i="1"/>
  <c r="O1793" i="1"/>
  <c r="N1793" i="1"/>
  <c r="M1793" i="1"/>
  <c r="O1792" i="1"/>
  <c r="N1792" i="1"/>
  <c r="M1792" i="1"/>
  <c r="O1791" i="1"/>
  <c r="N1791" i="1"/>
  <c r="M1791" i="1"/>
  <c r="O1790" i="1"/>
  <c r="N1790" i="1"/>
  <c r="M1790" i="1"/>
  <c r="O1789" i="1"/>
  <c r="N1789" i="1"/>
  <c r="M1789" i="1"/>
  <c r="O1788" i="1"/>
  <c r="N1788" i="1"/>
  <c r="M1788" i="1"/>
  <c r="O1787" i="1"/>
  <c r="N1787" i="1"/>
  <c r="M1787" i="1"/>
  <c r="O1786" i="1"/>
  <c r="N1786" i="1"/>
  <c r="M1786" i="1"/>
  <c r="O1785" i="1"/>
  <c r="N1785" i="1"/>
  <c r="M1785" i="1"/>
  <c r="O1784" i="1"/>
  <c r="N1784" i="1"/>
  <c r="M1784" i="1"/>
  <c r="O1783" i="1"/>
  <c r="N1783" i="1"/>
  <c r="M1783" i="1"/>
  <c r="O1782" i="1"/>
  <c r="N1782" i="1"/>
  <c r="M1782" i="1"/>
  <c r="O1781" i="1"/>
  <c r="N1781" i="1"/>
  <c r="M1781" i="1"/>
  <c r="O1780" i="1"/>
  <c r="N1780" i="1"/>
  <c r="M1780" i="1"/>
  <c r="O1779" i="1"/>
  <c r="N1779" i="1"/>
  <c r="M1779" i="1"/>
  <c r="O1778" i="1"/>
  <c r="N1778" i="1"/>
  <c r="M1778" i="1"/>
  <c r="O1777" i="1"/>
  <c r="N1777" i="1"/>
  <c r="M1777" i="1"/>
  <c r="O1776" i="1"/>
  <c r="N1776" i="1"/>
  <c r="M1776" i="1"/>
  <c r="O1775" i="1"/>
  <c r="N1775" i="1"/>
  <c r="M1775" i="1"/>
  <c r="O1774" i="1"/>
  <c r="N1774" i="1"/>
  <c r="M1774" i="1"/>
  <c r="O1773" i="1"/>
  <c r="N1773" i="1"/>
  <c r="M1773" i="1"/>
  <c r="O1772" i="1"/>
  <c r="N1772" i="1"/>
  <c r="M1772" i="1"/>
  <c r="O1771" i="1"/>
  <c r="N1771" i="1"/>
  <c r="M1771" i="1"/>
  <c r="O1770" i="1"/>
  <c r="N1770" i="1"/>
  <c r="M1770" i="1"/>
  <c r="O1769" i="1"/>
  <c r="N1769" i="1"/>
  <c r="M1769" i="1"/>
  <c r="O1768" i="1"/>
  <c r="N1768" i="1"/>
  <c r="M1768" i="1"/>
  <c r="O1767" i="1"/>
  <c r="N1767" i="1"/>
  <c r="M1767" i="1"/>
  <c r="O1766" i="1"/>
  <c r="N1766" i="1"/>
  <c r="M1766" i="1"/>
  <c r="O1765" i="1"/>
  <c r="N1765" i="1"/>
  <c r="M1765" i="1"/>
  <c r="O1764" i="1"/>
  <c r="N1764" i="1"/>
  <c r="M1764" i="1"/>
  <c r="O1763" i="1"/>
  <c r="N1763" i="1"/>
  <c r="M1763" i="1"/>
  <c r="O1762" i="1"/>
  <c r="N1762" i="1"/>
  <c r="M1762" i="1"/>
  <c r="O1761" i="1"/>
  <c r="N1761" i="1"/>
  <c r="M1761" i="1"/>
  <c r="O1760" i="1"/>
  <c r="N1760" i="1"/>
  <c r="M1760" i="1"/>
  <c r="O1759" i="1"/>
  <c r="N1759" i="1"/>
  <c r="M1759" i="1"/>
  <c r="O1758" i="1"/>
  <c r="N1758" i="1"/>
  <c r="M1758" i="1"/>
  <c r="O1757" i="1"/>
  <c r="N1757" i="1"/>
  <c r="M1757" i="1"/>
  <c r="O1756" i="1"/>
  <c r="N1756" i="1"/>
  <c r="M1756" i="1"/>
  <c r="O1755" i="1"/>
  <c r="N1755" i="1"/>
  <c r="M1755" i="1"/>
  <c r="O1754" i="1"/>
  <c r="N1754" i="1"/>
  <c r="M1754" i="1"/>
  <c r="O1753" i="1"/>
  <c r="N1753" i="1"/>
  <c r="M1753" i="1"/>
  <c r="O1752" i="1"/>
  <c r="N1752" i="1"/>
  <c r="M1752" i="1"/>
  <c r="O1751" i="1"/>
  <c r="N1751" i="1"/>
  <c r="M1751" i="1"/>
  <c r="O1750" i="1"/>
  <c r="N1750" i="1"/>
  <c r="M1750" i="1"/>
  <c r="O1749" i="1"/>
  <c r="N1749" i="1"/>
  <c r="M1749" i="1"/>
  <c r="O1748" i="1"/>
  <c r="N1748" i="1"/>
  <c r="M1748" i="1"/>
  <c r="O1747" i="1"/>
  <c r="N1747" i="1"/>
  <c r="M1747" i="1"/>
  <c r="O1746" i="1"/>
  <c r="N1746" i="1"/>
  <c r="M1746" i="1"/>
  <c r="O1745" i="1"/>
  <c r="N1745" i="1"/>
  <c r="M1745" i="1"/>
  <c r="O1744" i="1"/>
  <c r="N1744" i="1"/>
  <c r="M1744" i="1"/>
  <c r="O1743" i="1"/>
  <c r="N1743" i="1"/>
  <c r="M1743" i="1"/>
  <c r="O1742" i="1"/>
  <c r="N1742" i="1"/>
  <c r="M1742" i="1"/>
  <c r="O1741" i="1"/>
  <c r="N1741" i="1"/>
  <c r="M1741" i="1"/>
  <c r="O1740" i="1"/>
  <c r="N1740" i="1"/>
  <c r="M1740" i="1"/>
  <c r="O1739" i="1"/>
  <c r="N1739" i="1"/>
  <c r="M1739" i="1"/>
  <c r="O1738" i="1"/>
  <c r="N1738" i="1"/>
  <c r="M1738" i="1"/>
  <c r="O1737" i="1"/>
  <c r="N1737" i="1"/>
  <c r="M1737" i="1"/>
  <c r="O1736" i="1"/>
  <c r="N1736" i="1"/>
  <c r="M1736" i="1"/>
  <c r="O1735" i="1"/>
  <c r="N1735" i="1"/>
  <c r="M1735" i="1"/>
  <c r="O1734" i="1"/>
  <c r="N1734" i="1"/>
  <c r="M1734" i="1"/>
  <c r="O1733" i="1"/>
  <c r="N1733" i="1"/>
  <c r="M1733" i="1"/>
  <c r="O1732" i="1"/>
  <c r="N1732" i="1"/>
  <c r="M1732" i="1"/>
  <c r="O1731" i="1"/>
  <c r="N1731" i="1"/>
  <c r="M1731" i="1"/>
  <c r="O1730" i="1"/>
  <c r="N1730" i="1"/>
  <c r="M1730" i="1"/>
  <c r="O1729" i="1"/>
  <c r="N1729" i="1"/>
  <c r="M1729" i="1"/>
  <c r="O1728" i="1"/>
  <c r="N1728" i="1"/>
  <c r="M1728" i="1"/>
  <c r="O1727" i="1"/>
  <c r="N1727" i="1"/>
  <c r="M1727" i="1"/>
  <c r="O1726" i="1"/>
  <c r="N1726" i="1"/>
  <c r="M1726" i="1"/>
  <c r="O1725" i="1"/>
  <c r="N1725" i="1"/>
  <c r="M1725" i="1"/>
  <c r="O1724" i="1"/>
  <c r="N1724" i="1"/>
  <c r="M1724" i="1"/>
  <c r="O1723" i="1"/>
  <c r="N1723" i="1"/>
  <c r="M1723" i="1"/>
  <c r="O1722" i="1"/>
  <c r="N1722" i="1"/>
  <c r="M1722" i="1"/>
  <c r="O1721" i="1"/>
  <c r="N1721" i="1"/>
  <c r="M1721" i="1"/>
  <c r="O1720" i="1"/>
  <c r="N1720" i="1"/>
  <c r="M1720" i="1"/>
  <c r="O1719" i="1"/>
  <c r="N1719" i="1"/>
  <c r="M1719" i="1"/>
  <c r="O1718" i="1"/>
  <c r="N1718" i="1"/>
  <c r="M1718" i="1"/>
  <c r="O1717" i="1"/>
  <c r="N1717" i="1"/>
  <c r="M1717" i="1"/>
  <c r="O1716" i="1"/>
  <c r="N1716" i="1"/>
  <c r="M1716" i="1"/>
  <c r="O1715" i="1"/>
  <c r="N1715" i="1"/>
  <c r="M1715" i="1"/>
  <c r="O1714" i="1"/>
  <c r="N1714" i="1"/>
  <c r="M1714" i="1"/>
  <c r="O1713" i="1"/>
  <c r="N1713" i="1"/>
  <c r="M1713" i="1"/>
  <c r="O1712" i="1"/>
  <c r="N1712" i="1"/>
  <c r="M1712" i="1"/>
  <c r="O1711" i="1"/>
  <c r="N1711" i="1"/>
  <c r="M1711" i="1"/>
  <c r="O1710" i="1"/>
  <c r="N1710" i="1"/>
  <c r="M1710" i="1"/>
  <c r="O1709" i="1"/>
  <c r="N1709" i="1"/>
  <c r="M1709" i="1"/>
  <c r="O1708" i="1"/>
  <c r="N1708" i="1"/>
  <c r="M1708" i="1"/>
  <c r="O1707" i="1"/>
  <c r="N1707" i="1"/>
  <c r="M1707" i="1"/>
  <c r="O1706" i="1"/>
  <c r="N1706" i="1"/>
  <c r="M1706" i="1"/>
  <c r="O1705" i="1"/>
  <c r="N1705" i="1"/>
  <c r="M1705" i="1"/>
  <c r="O1704" i="1"/>
  <c r="N1704" i="1"/>
  <c r="M1704" i="1"/>
  <c r="O1703" i="1"/>
  <c r="N1703" i="1"/>
  <c r="M1703" i="1"/>
  <c r="O1702" i="1"/>
  <c r="N1702" i="1"/>
  <c r="M1702" i="1"/>
  <c r="O1701" i="1"/>
  <c r="N1701" i="1"/>
  <c r="M1701" i="1"/>
  <c r="O1700" i="1"/>
  <c r="N1700" i="1"/>
  <c r="M1700" i="1"/>
  <c r="O1699" i="1"/>
  <c r="N1699" i="1"/>
  <c r="M1699" i="1"/>
  <c r="O1698" i="1"/>
  <c r="N1698" i="1"/>
  <c r="M1698" i="1"/>
  <c r="O1697" i="1"/>
  <c r="N1697" i="1"/>
  <c r="M1697" i="1"/>
  <c r="O1696" i="1"/>
  <c r="N1696" i="1"/>
  <c r="M1696" i="1"/>
  <c r="O1695" i="1"/>
  <c r="N1695" i="1"/>
  <c r="M1695" i="1"/>
  <c r="O1694" i="1"/>
  <c r="N1694" i="1"/>
  <c r="M1694" i="1"/>
  <c r="O1693" i="1"/>
  <c r="N1693" i="1"/>
  <c r="M1693" i="1"/>
  <c r="O1692" i="1"/>
  <c r="N1692" i="1"/>
  <c r="M1692" i="1"/>
  <c r="O1691" i="1"/>
  <c r="N1691" i="1"/>
  <c r="M1691" i="1"/>
  <c r="O1690" i="1"/>
  <c r="N1690" i="1"/>
  <c r="M1690" i="1"/>
  <c r="O1689" i="1"/>
  <c r="N1689" i="1"/>
  <c r="M1689" i="1"/>
  <c r="O1688" i="1"/>
  <c r="N1688" i="1"/>
  <c r="M1688" i="1"/>
  <c r="O1687" i="1"/>
  <c r="N1687" i="1"/>
  <c r="M1687" i="1"/>
  <c r="O1686" i="1"/>
  <c r="N1686" i="1"/>
  <c r="M1686" i="1"/>
  <c r="O1685" i="1"/>
  <c r="N1685" i="1"/>
  <c r="M1685" i="1"/>
  <c r="O1684" i="1"/>
  <c r="N1684" i="1"/>
  <c r="M1684" i="1"/>
  <c r="O1683" i="1"/>
  <c r="N1683" i="1"/>
  <c r="M1683" i="1"/>
  <c r="O1682" i="1"/>
  <c r="N1682" i="1"/>
  <c r="M1682" i="1"/>
  <c r="O1681" i="1"/>
  <c r="N1681" i="1"/>
  <c r="M1681" i="1"/>
  <c r="O1680" i="1"/>
  <c r="N1680" i="1"/>
  <c r="M1680" i="1"/>
  <c r="O1679" i="1"/>
  <c r="N1679" i="1"/>
  <c r="M1679" i="1"/>
  <c r="O1678" i="1"/>
  <c r="N1678" i="1"/>
  <c r="M1678" i="1"/>
  <c r="O1677" i="1"/>
  <c r="N1677" i="1"/>
  <c r="M1677" i="1"/>
  <c r="O1676" i="1"/>
  <c r="N1676" i="1"/>
  <c r="M1676" i="1"/>
  <c r="O1675" i="1"/>
  <c r="N1675" i="1"/>
  <c r="M1675" i="1"/>
  <c r="O1674" i="1"/>
  <c r="N1674" i="1"/>
  <c r="M1674" i="1"/>
  <c r="O1673" i="1"/>
  <c r="N1673" i="1"/>
  <c r="M1673" i="1"/>
  <c r="O1672" i="1"/>
  <c r="N1672" i="1"/>
  <c r="M1672" i="1"/>
  <c r="O1671" i="1"/>
  <c r="N1671" i="1"/>
  <c r="M1671" i="1"/>
  <c r="O1670" i="1"/>
  <c r="N1670" i="1"/>
  <c r="M1670" i="1"/>
  <c r="O1669" i="1"/>
  <c r="N1669" i="1"/>
  <c r="M1669" i="1"/>
  <c r="O1668" i="1"/>
  <c r="N1668" i="1"/>
  <c r="M1668" i="1"/>
  <c r="O1667" i="1"/>
  <c r="N1667" i="1"/>
  <c r="M1667" i="1"/>
  <c r="O1666" i="1"/>
  <c r="N1666" i="1"/>
  <c r="M1666" i="1"/>
  <c r="O1665" i="1"/>
  <c r="N1665" i="1"/>
  <c r="M1665" i="1"/>
  <c r="O1664" i="1"/>
  <c r="N1664" i="1"/>
  <c r="M1664" i="1"/>
  <c r="O1663" i="1"/>
  <c r="N1663" i="1"/>
  <c r="M1663" i="1"/>
  <c r="O1662" i="1"/>
  <c r="N1662" i="1"/>
  <c r="M1662" i="1"/>
  <c r="O1661" i="1"/>
  <c r="N1661" i="1"/>
  <c r="M1661" i="1"/>
  <c r="O1660" i="1"/>
  <c r="N1660" i="1"/>
  <c r="M1660" i="1"/>
  <c r="O1659" i="1"/>
  <c r="N1659" i="1"/>
  <c r="M1659" i="1"/>
  <c r="O1658" i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<sst xmlns="http://schemas.openxmlformats.org/spreadsheetml/2006/main" count="14610" uniqueCount="2526">
  <si>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</si>
  <si>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</si>
  <si>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</si>
  <si>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</si>
  <si>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</si>
  <si>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</si>
  <si>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</si>
  <si>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</si>
  <si>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</si>
  <si>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</si>
  <si>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</si>
  <si>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</si>
  <si>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</si>
  <si>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</si>
  <si>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</si>
  <si>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</si>
  <si>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</si>
  <si>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</si>
  <si>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</si>
  <si>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</si>
  <si>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</si>
  <si>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</si>
  <si>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</si>
  <si>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</si>
  <si>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</si>
  <si>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</si>
  <si>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</si>
  <si>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</si>
  <si>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</si>
  <si>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</si>
  <si>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</si>
  <si>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</si>
  <si>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</si>
  <si>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</si>
  <si>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</si>
  <si>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</si>
  <si>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</si>
  <si>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</si>
  <si>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</si>
  <si>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</si>
  <si>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</si>
  <si>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</si>
  <si>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</si>
  <si>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</si>
  <si>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</si>
  <si>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</si>
  <si>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</si>
  <si>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</si>
  <si>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</si>
  <si>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</si>
  <si>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</si>
  <si>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</si>
  <si>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</si>
  <si>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</si>
  <si>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</si>
  <si>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</si>
  <si>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</si>
  <si>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</si>
  <si>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</si>
  <si>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</si>
  <si>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</si>
  <si>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</si>
  <si>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</si>
  <si>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</si>
  <si>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</si>
  <si>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</si>
  <si>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</si>
  <si>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</si>
  <si>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</si>
  <si>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</si>
  <si>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</si>
  <si>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</si>
  <si>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</si>
  <si>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</si>
  <si>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</si>
  <si>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</si>
  <si>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</si>
  <si>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</si>
  <si>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</si>
  <si>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</si>
  <si>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</si>
  <si>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</si>
  <si>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</si>
  <si>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</si>
  <si>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</si>
  <si>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</si>
  <si>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</si>
  <si>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</si>
  <si>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</si>
  <si>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</si>
  <si>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</si>
  <si>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</si>
  <si>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</si>
  <si>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</si>
  <si>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</si>
  <si>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</si>
  <si>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</si>
  <si>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</si>
  <si>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</si>
  <si>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</si>
  <si>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</si>
  <si>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</si>
  <si>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</si>
  <si>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</si>
  <si>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</si>
  <si>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</si>
  <si>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</si>
  <si>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</si>
  <si>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</si>
  <si>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</si>
  <si>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</si>
  <si>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</si>
  <si>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</si>
  <si>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</si>
  <si>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</si>
  <si>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</si>
  <si>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</si>
  <si>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</si>
  <si>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</si>
  <si>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</si>
  <si>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</si>
  <si>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</si>
  <si>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</si>
  <si>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</si>
  <si>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</si>
  <si>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</si>
  <si>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</si>
  <si>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</si>
  <si>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</si>
  <si>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</si>
  <si>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</si>
  <si>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</si>
  <si>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</si>
  <si>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</si>
  <si>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</si>
  <si>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</si>
  <si>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</si>
  <si>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</si>
  <si>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</si>
  <si>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</si>
  <si>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</si>
  <si>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</si>
  <si>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</si>
  <si>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</si>
  <si>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</si>
  <si>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</si>
  <si>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</si>
  <si>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</si>
  <si>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</si>
  <si>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</si>
  <si>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</si>
  <si>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</si>
  <si>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</si>
  <si>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</si>
  <si>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</si>
  <si>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</si>
  <si>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</si>
  <si>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</si>
  <si>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</si>
  <si>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</si>
  <si>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</si>
  <si>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</si>
  <si>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</si>
  <si>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</si>
  <si>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</si>
  <si>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</si>
  <si>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</si>
  <si>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</si>
  <si>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</si>
  <si>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</si>
  <si>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</si>
  <si>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</si>
  <si>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</si>
  <si>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</si>
  <si>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</si>
  <si>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</si>
  <si>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</si>
  <si>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</si>
  <si>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</si>
  <si>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</si>
  <si>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</si>
  <si>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</si>
  <si>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</si>
  <si>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</si>
  <si>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</si>
  <si>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</si>
  <si>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</si>
  <si>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</si>
  <si>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</si>
  <si>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</si>
  <si>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</si>
  <si>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</si>
  <si>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</si>
  <si>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</si>
  <si>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</si>
  <si>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</si>
  <si>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</si>
  <si>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</si>
  <si>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</si>
  <si>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</si>
  <si>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</si>
  <si>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</si>
  <si>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</si>
  <si>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</si>
  <si>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</si>
  <si>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</si>
  <si>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</si>
  <si>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</si>
  <si>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</si>
  <si>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</si>
  <si>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</si>
  <si>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</si>
  <si>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</si>
  <si>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</si>
  <si>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</si>
  <si>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</si>
  <si>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</si>
  <si>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</si>
  <si>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</si>
  <si>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</si>
  <si>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</si>
  <si>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</si>
  <si>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</si>
  <si>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</si>
  <si>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</si>
  <si>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</si>
  <si>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</si>
  <si>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</si>
  <si>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</si>
  <si>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</si>
  <si>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</si>
  <si>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</si>
  <si>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</si>
  <si>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</si>
  <si>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</si>
  <si>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</si>
  <si>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</si>
  <si>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</si>
  <si>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</si>
  <si>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</si>
  <si>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</si>
  <si>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</si>
  <si>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</si>
  <si>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</si>
  <si>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</si>
  <si>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</si>
  <si>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</si>
  <si>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</si>
  <si>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</si>
  <si>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</si>
  <si>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</si>
  <si>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</si>
  <si>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</si>
  <si>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</si>
  <si>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</si>
  <si>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</si>
  <si>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</si>
  <si>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</si>
  <si>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</si>
  <si>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</si>
  <si>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</si>
  <si>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</si>
  <si>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</si>
  <si>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</si>
  <si>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</si>
  <si>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</si>
  <si>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</si>
  <si>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</si>
  <si>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</si>
  <si>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</si>
  <si>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</si>
  <si>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</si>
  <si>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</si>
  <si>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</si>
  <si>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</si>
  <si>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</si>
  <si>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</si>
  <si>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</si>
  <si>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</si>
  <si>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</si>
  <si>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</si>
  <si>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</si>
  <si>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</si>
  <si>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</si>
  <si>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</si>
  <si>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</si>
  <si>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</si>
  <si>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</si>
  <si>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</si>
  <si>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</si>
  <si>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</si>
  <si>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</si>
  <si>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</si>
  <si>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</si>
  <si>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</si>
  <si>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</si>
  <si>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</si>
  <si>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</si>
  <si>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</si>
  <si>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</si>
  <si>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</si>
  <si>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</si>
  <si>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</si>
  <si>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</si>
  <si>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</si>
  <si>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</si>
  <si>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</si>
  <si>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</si>
  <si>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</si>
  <si>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</si>
  <si>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</si>
  <si>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</si>
  <si>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</si>
  <si>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</si>
  <si>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</si>
  <si>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</si>
  <si>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</si>
  <si>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</si>
  <si>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</si>
  <si>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</si>
  <si>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</si>
  <si>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</si>
  <si>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</si>
  <si>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</si>
  <si>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</si>
  <si>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</si>
  <si>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</si>
  <si>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</si>
  <si>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</si>
  <si>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</si>
  <si>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</si>
  <si>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</si>
  <si>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</si>
  <si>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</si>
  <si>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</si>
  <si>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</si>
  <si>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</si>
  <si>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</si>
  <si>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</si>
  <si>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</si>
  <si>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</si>
  <si>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</si>
  <si>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</si>
  <si>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</si>
  <si>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</si>
  <si>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</si>
  <si>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</si>
  <si>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</si>
  <si>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</si>
  <si>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</si>
  <si>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</si>
  <si>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</si>
  <si>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</si>
  <si>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</si>
  <si>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</si>
  <si>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</si>
  <si>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</si>
  <si>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</si>
  <si>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</si>
  <si>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</si>
  <si>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</si>
  <si>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</si>
  <si>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</si>
  <si>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</si>
  <si>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</si>
  <si>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</si>
  <si>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</si>
  <si>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</si>
  <si>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</si>
  <si>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</si>
  <si>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</si>
  <si>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</si>
  <si>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</si>
  <si>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</si>
  <si>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</si>
  <si>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</si>
  <si>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</si>
  <si>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</si>
  <si>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</si>
  <si>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</si>
  <si>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</si>
  <si>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</si>
  <si>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</si>
  <si>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</si>
  <si>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</si>
  <si>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</si>
  <si>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</si>
  <si>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</si>
  <si>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</si>
  <si>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</si>
  <si>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</si>
  <si>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</si>
  <si>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</si>
  <si>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</si>
  <si>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</si>
  <si>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</si>
  <si>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</si>
  <si>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</si>
  <si>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</si>
  <si>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</si>
  <si>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</si>
  <si>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</si>
  <si>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</si>
  <si>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</si>
  <si>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</si>
  <si>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</si>
  <si>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</si>
  <si>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</si>
  <si>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</si>
  <si>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</si>
  <si>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</si>
  <si>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</si>
  <si>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</si>
  <si>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</si>
  <si>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</si>
  <si>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</si>
  <si>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</si>
  <si>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</si>
  <si>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</si>
  <si>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</si>
  <si>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</si>
  <si>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</si>
  <si>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</si>
  <si>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</si>
  <si>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</si>
  <si>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</si>
  <si>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</si>
  <si>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</si>
  <si>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</si>
  <si>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</si>
  <si>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</si>
  <si>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</si>
  <si>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</si>
  <si>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</si>
  <si>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</si>
  <si>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</si>
  <si>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</si>
  <si>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</si>
  <si>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</si>
  <si>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</si>
  <si>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</si>
  <si>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</si>
  <si>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</si>
  <si>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</si>
  <si>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</si>
  <si>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</si>
  <si>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</si>
  <si>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</si>
  <si>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</si>
  <si>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</si>
  <si>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</si>
  <si>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</si>
  <si>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</si>
  <si>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</si>
  <si>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</si>
  <si>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</si>
  <si>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</si>
  <si>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</si>
  <si>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</si>
  <si>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</si>
  <si>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</si>
  <si>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</si>
  <si>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</si>
  <si>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</si>
  <si>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</si>
  <si>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</si>
  <si>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</si>
  <si>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</si>
  <si>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</si>
  <si>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</si>
  <si>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</si>
  <si>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</si>
  <si>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</si>
  <si>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</si>
  <si>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</si>
  <si>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</si>
  <si>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</si>
  <si>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</si>
  <si>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</si>
  <si>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</si>
  <si>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</si>
  <si>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</si>
  <si>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</si>
  <si>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</si>
  <si>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</si>
  <si>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</si>
  <si>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</si>
  <si>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</si>
  <si>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</si>
  <si>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</si>
  <si>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</si>
  <si>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</si>
  <si>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</si>
  <si>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</si>
  <si>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</si>
  <si>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</si>
  <si>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</si>
  <si>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</si>
  <si>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</si>
  <si>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</si>
  <si>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</si>
  <si>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</si>
  <si>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</si>
  <si>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</si>
  <si>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</si>
  <si>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</si>
  <si>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</si>
  <si>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</si>
  <si>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</si>
  <si>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</si>
  <si>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</si>
  <si>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</si>
  <si>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</si>
  <si>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</si>
  <si>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</si>
  <si>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</si>
  <si>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</si>
  <si>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</si>
  <si>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</si>
  <si>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</si>
  <si>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</si>
  <si>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</si>
  <si>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</si>
  <si>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</si>
  <si>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</si>
  <si>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</si>
  <si>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</si>
  <si>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</si>
  <si>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</si>
  <si>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</si>
  <si>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</si>
  <si>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</si>
  <si>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</si>
  <si>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</si>
  <si>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</si>
  <si>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</si>
  <si>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</si>
  <si>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</si>
  <si>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</si>
  <si>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</si>
  <si>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</si>
  <si>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</si>
  <si>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</si>
  <si>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</si>
  <si>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</si>
  <si>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</si>
  <si>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</si>
  <si>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</si>
  <si>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</si>
  <si>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</si>
  <si>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</si>
  <si>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</si>
  <si>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</si>
  <si>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</si>
  <si>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</si>
  <si>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</si>
  <si>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</si>
  <si>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</si>
  <si>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</si>
  <si>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</si>
  <si>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</si>
  <si>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</si>
  <si>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</si>
  <si>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</si>
  <si>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</si>
  <si>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</si>
  <si>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</si>
  <si>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</si>
  <si>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</si>
  <si>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</si>
  <si>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</si>
  <si>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</si>
  <si>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</si>
  <si>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</si>
  <si>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</si>
  <si>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</si>
  <si>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</si>
  <si>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</si>
  <si>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</si>
  <si>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</si>
  <si>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</si>
  <si>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</si>
  <si>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</si>
  <si>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</si>
  <si>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</si>
  <si>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</si>
  <si>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</si>
  <si>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</si>
  <si>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</si>
  <si>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</si>
  <si>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</si>
  <si>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</si>
  <si>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</si>
  <si>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</si>
  <si>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</si>
  <si>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</si>
  <si>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</si>
  <si>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</si>
  <si>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</si>
  <si>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</si>
  <si>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</si>
  <si>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</si>
  <si>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</si>
  <si>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</si>
  <si>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</si>
  <si>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</si>
  <si>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</si>
  <si>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</si>
  <si>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</si>
  <si>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</si>
  <si>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</si>
  <si>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</si>
  <si>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</si>
  <si>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</si>
  <si>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</si>
  <si>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</si>
  <si>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</si>
  <si>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</si>
  <si>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</si>
  <si>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</si>
  <si>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</si>
  <si>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</si>
  <si>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</si>
  <si>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</si>
  <si>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</si>
  <si>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</si>
  <si>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</si>
  <si>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</si>
  <si>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</si>
  <si>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</si>
  <si>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</si>
  <si>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</si>
  <si>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</si>
  <si>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</si>
  <si>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</si>
  <si>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</si>
  <si>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</si>
  <si>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</si>
  <si>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</si>
  <si>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</si>
  <si>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</si>
  <si>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</si>
  <si>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</si>
  <si>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</si>
  <si>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</si>
  <si>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</si>
  <si>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</si>
  <si>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</si>
  <si>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</si>
  <si>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</si>
  <si>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</si>
  <si>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</si>
  <si>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</si>
  <si>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</si>
  <si>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</si>
  <si>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</si>
  <si>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</si>
  <si>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</si>
  <si>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</si>
  <si>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</si>
  <si>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</si>
  <si>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</si>
  <si>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</si>
  <si>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</si>
  <si>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</si>
  <si>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</si>
  <si>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</si>
  <si>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</si>
  <si>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</si>
  <si>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</si>
  <si>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</si>
  <si>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</si>
  <si>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</si>
  <si>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</si>
  <si>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</si>
  <si>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</si>
  <si>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</si>
  <si>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</si>
  <si>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</si>
  <si>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</si>
  <si>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</si>
  <si>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</si>
  <si>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</si>
  <si>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</si>
  <si>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</si>
  <si>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</si>
  <si>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</si>
  <si>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</si>
  <si>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</si>
  <si>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</si>
  <si>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</si>
  <si>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</si>
  <si>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</si>
  <si>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</si>
  <si>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</si>
  <si>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</si>
  <si>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</si>
  <si>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</si>
  <si>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</si>
  <si>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</si>
  <si>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</si>
  <si>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</si>
  <si>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</si>
  <si>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</si>
  <si>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</si>
  <si>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</si>
  <si>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</si>
  <si>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</si>
  <si>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</si>
  <si>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</si>
  <si>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</si>
  <si>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</si>
  <si>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</si>
  <si>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</si>
  <si>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</si>
  <si>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</si>
  <si>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</si>
  <si>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</si>
  <si>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</si>
  <si>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</si>
  <si>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</si>
  <si>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</si>
  <si>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</si>
  <si>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</si>
  <si>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</si>
  <si>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</si>
  <si>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</si>
  <si>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</si>
  <si>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</si>
  <si>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</si>
  <si>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</si>
  <si>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</si>
  <si>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</si>
  <si>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</si>
  <si>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</si>
  <si>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</si>
  <si>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</si>
  <si>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</si>
  <si>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</si>
  <si>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</si>
  <si>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</si>
  <si>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</si>
  <si>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</si>
  <si>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</si>
  <si>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</si>
  <si>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</si>
  <si>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</si>
  <si>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</si>
  <si>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</si>
  <si>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</si>
  <si>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</si>
  <si>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</si>
  <si>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</si>
  <si>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</si>
  <si>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</si>
  <si>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</si>
  <si>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</si>
  <si>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</si>
  <si>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</si>
  <si>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</si>
  <si>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</si>
  <si>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</si>
  <si>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</si>
  <si>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</si>
  <si>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</si>
  <si>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</si>
  <si>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</si>
  <si>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</si>
  <si>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</si>
  <si>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</si>
  <si>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</si>
  <si>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</si>
  <si>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</si>
  <si>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</si>
  <si>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</si>
  <si>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</si>
  <si>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</si>
  <si>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</si>
  <si>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</si>
  <si>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</si>
  <si>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</si>
  <si>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</si>
  <si>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</si>
  <si>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</si>
  <si>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</si>
  <si>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</si>
  <si>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</si>
  <si>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</si>
  <si>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</si>
  <si>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</si>
  <si>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</si>
  <si>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</si>
  <si>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</si>
  <si>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</si>
  <si>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</si>
  <si>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</si>
  <si>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</si>
  <si>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</si>
  <si>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</si>
  <si>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</si>
  <si>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</si>
  <si>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</si>
  <si>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</si>
  <si>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</si>
  <si>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</si>
  <si>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</si>
  <si>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</si>
  <si>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</si>
  <si>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</si>
  <si>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</si>
  <si>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</si>
  <si>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</si>
  <si>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</si>
  <si>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</si>
  <si>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</si>
  <si>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</si>
  <si>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</si>
  <si>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</si>
  <si>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</si>
  <si>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</si>
  <si>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</si>
  <si>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</si>
  <si>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</si>
  <si>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</si>
  <si>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</si>
  <si>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</si>
  <si>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</si>
  <si>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</si>
  <si>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</si>
  <si>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</si>
  <si>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</si>
  <si>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</si>
  <si>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</si>
  <si>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</si>
  <si>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</si>
  <si>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</si>
  <si>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</si>
  <si>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</si>
  <si>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</si>
  <si>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</si>
  <si>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</si>
  <si>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</si>
  <si>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</si>
  <si>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</si>
  <si>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</si>
  <si>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</si>
  <si>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</si>
  <si>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</si>
  <si>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</si>
  <si>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</si>
  <si>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</si>
  <si>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</si>
  <si>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</si>
  <si>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</si>
  <si>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</si>
  <si>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</si>
  <si>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</si>
  <si>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</si>
  <si>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</si>
  <si>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</si>
  <si>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</si>
  <si>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</si>
  <si>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</si>
  <si>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</si>
  <si>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</si>
  <si>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</si>
  <si>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</si>
  <si>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</si>
  <si>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</si>
  <si>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</si>
  <si>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</si>
  <si>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</si>
  <si>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</si>
  <si>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</si>
  <si>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</si>
  <si>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</si>
  <si>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</si>
  <si>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</si>
  <si>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</si>
  <si>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</si>
  <si>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</si>
  <si>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</si>
  <si>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</si>
  <si>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</si>
  <si>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</si>
  <si>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</si>
  <si>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</si>
  <si>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</si>
  <si>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</si>
  <si>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</si>
  <si>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</si>
  <si>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</si>
  <si>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</si>
  <si>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</si>
  <si>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</si>
  <si>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</si>
  <si>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</si>
  <si>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</si>
  <si>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</si>
  <si>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</si>
  <si>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</si>
  <si>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</si>
  <si>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</si>
  <si>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</si>
  <si>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</si>
  <si>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</si>
  <si>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</si>
  <si>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</si>
  <si>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</si>
  <si>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</si>
  <si>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</si>
  <si>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</si>
  <si>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</si>
  <si>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</si>
  <si>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</si>
  <si>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</si>
  <si>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</si>
  <si>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</si>
  <si>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</si>
  <si>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</si>
  <si>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</si>
  <si>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</si>
  <si>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</si>
  <si>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</si>
  <si>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</si>
  <si>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</si>
  <si>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</si>
  <si>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</si>
  <si>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</si>
  <si>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</si>
  <si>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</si>
  <si>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</si>
  <si>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</si>
  <si>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</si>
  <si>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</si>
  <si>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</si>
  <si>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</si>
  <si>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</si>
  <si>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</si>
  <si>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</si>
  <si>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</si>
  <si>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</si>
  <si>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</si>
  <si>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</si>
  <si>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</si>
  <si>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</si>
  <si>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</si>
  <si>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</si>
  <si>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</si>
  <si>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</si>
  <si>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</si>
  <si>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</si>
  <si>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</si>
  <si>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</si>
  <si>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</si>
  <si>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</si>
  <si>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</si>
  <si>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</si>
  <si>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</si>
  <si>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</si>
  <si>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</si>
  <si>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</si>
  <si>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</si>
  <si>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</si>
  <si>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</si>
  <si>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</si>
  <si>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</si>
  <si>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</si>
  <si>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</si>
  <si>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</si>
  <si>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</si>
  <si>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</si>
  <si>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</si>
  <si>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</si>
  <si>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</si>
  <si>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</si>
  <si>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</si>
  <si>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</si>
  <si>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</si>
  <si>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</si>
  <si>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</si>
  <si>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</si>
  <si>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</si>
  <si>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</si>
  <si>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</si>
  <si>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</si>
  <si>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</si>
  <si>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</si>
  <si>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</si>
  <si>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</si>
  <si>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</si>
  <si>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</si>
  <si>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</si>
  <si>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</si>
  <si>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</si>
  <si>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</si>
  <si>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</si>
  <si>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</si>
  <si>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</si>
  <si>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</si>
  <si>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</si>
  <si>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</si>
  <si>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</si>
  <si>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</si>
  <si>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</si>
  <si>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</si>
  <si>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</si>
  <si>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</si>
  <si>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</si>
  <si>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</si>
  <si>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</si>
  <si>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</si>
  <si>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</si>
  <si>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</si>
  <si>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</si>
  <si>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</si>
  <si>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</si>
  <si>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</si>
  <si>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</si>
  <si>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</si>
  <si>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</si>
  <si>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</si>
  <si>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</si>
  <si>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</si>
  <si>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</si>
  <si>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</si>
  <si>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</si>
  <si>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</si>
  <si>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</si>
  <si>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</si>
  <si>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</si>
  <si>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</si>
  <si>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</si>
  <si>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</si>
  <si>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</si>
  <si>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</si>
  <si>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</si>
  <si>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</si>
  <si>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</si>
  <si>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</si>
  <si>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</si>
  <si>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</si>
  <si>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</si>
  <si>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</si>
  <si>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</si>
  <si>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</si>
  <si>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</si>
  <si>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</si>
  <si>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</si>
  <si>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</si>
  <si>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</si>
  <si>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</si>
  <si>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</si>
  <si>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</si>
  <si>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</si>
  <si>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</si>
  <si>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</si>
  <si>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</si>
  <si>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</si>
  <si>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</si>
  <si>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</si>
  <si>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</si>
  <si>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</si>
  <si>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</si>
  <si>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</si>
  <si>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</si>
  <si>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</si>
  <si>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</si>
  <si>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</si>
  <si>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</si>
  <si>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</si>
  <si>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</si>
  <si>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</si>
  <si>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</si>
  <si>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</si>
  <si>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</si>
  <si>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</si>
  <si>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</si>
  <si>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</si>
  <si>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</si>
  <si>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</si>
  <si>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</si>
  <si>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</si>
  <si>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</si>
  <si>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</si>
  <si>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</si>
  <si>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</si>
  <si>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</si>
  <si>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</si>
  <si>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</si>
  <si>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</si>
  <si>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</si>
  <si>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</si>
  <si>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</si>
  <si>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</si>
  <si>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</si>
  <si>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</si>
  <si>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</si>
  <si>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</si>
  <si>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</si>
  <si>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</si>
  <si>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</si>
  <si>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</si>
  <si>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</si>
  <si>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</si>
  <si>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</si>
  <si>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</si>
  <si>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</si>
  <si>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</si>
  <si>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</si>
  <si>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</si>
  <si>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</si>
  <si>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</si>
  <si>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</si>
  <si>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</si>
  <si>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</si>
  <si>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</si>
  <si>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</si>
  <si>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</si>
  <si>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</si>
  <si>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</si>
  <si>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</si>
  <si>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</si>
  <si>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</si>
  <si>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</si>
  <si>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</si>
  <si>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</si>
  <si>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</si>
  <si>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</si>
  <si>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</si>
  <si>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</si>
  <si>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</si>
  <si>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</si>
  <si>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</si>
  <si>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</si>
  <si>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</si>
  <si>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</si>
  <si>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</si>
  <si>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</si>
  <si>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</si>
  <si>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</si>
  <si>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</si>
  <si>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</si>
  <si>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</si>
  <si>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</si>
  <si>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</si>
  <si>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</si>
  <si>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</si>
  <si>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</si>
  <si>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</si>
  <si>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</si>
  <si>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</si>
  <si>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</si>
  <si>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</si>
  <si>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</si>
  <si>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</si>
  <si>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</si>
  <si>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</si>
  <si>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</si>
  <si>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</si>
  <si>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</si>
  <si>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</si>
  <si>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</si>
  <si>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</si>
  <si>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</si>
  <si>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</si>
  <si>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</si>
  <si>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</si>
  <si>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</si>
  <si>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</si>
  <si>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</si>
  <si>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</si>
  <si>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</si>
  <si>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</si>
  <si>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</si>
  <si>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</si>
  <si>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</si>
  <si>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</si>
  <si>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</si>
  <si>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</si>
  <si>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</si>
  <si>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</si>
  <si>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</si>
  <si>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</si>
  <si>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</si>
  <si>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</si>
  <si>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</si>
  <si>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</si>
  <si>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</si>
  <si>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</si>
  <si>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</si>
  <si>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</si>
  <si>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</si>
  <si>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</si>
  <si>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</si>
  <si>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</si>
  <si>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</si>
  <si>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</si>
  <si>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</si>
  <si>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</si>
  <si>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</si>
  <si>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</si>
  <si>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</si>
  <si>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</si>
  <si>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</si>
  <si>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</si>
  <si>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</si>
  <si>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</si>
  <si>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</si>
  <si>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</si>
  <si>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</si>
  <si>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</si>
  <si>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</si>
  <si>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</si>
  <si>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</si>
  <si>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</si>
  <si>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</si>
  <si>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</si>
  <si>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</si>
  <si>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</si>
  <si>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</si>
  <si>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</si>
  <si>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</si>
  <si>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</si>
  <si>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</si>
  <si>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</si>
  <si>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</si>
  <si>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</si>
  <si>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</si>
  <si>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</si>
  <si>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</si>
  <si>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</si>
  <si>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</si>
  <si>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</si>
  <si>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</si>
  <si>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</si>
  <si>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</si>
  <si>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</si>
  <si>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</si>
  <si>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</si>
  <si>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</si>
  <si>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</si>
  <si>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</si>
  <si>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</si>
  <si>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</si>
  <si>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</si>
  <si>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</si>
  <si>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</si>
  <si>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</si>
  <si>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</si>
  <si>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</si>
  <si>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</si>
  <si>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</si>
  <si>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</si>
  <si>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</si>
  <si>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</si>
  <si>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</si>
  <si>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</si>
  <si>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</si>
  <si>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</si>
  <si>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</si>
  <si>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</si>
  <si>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</si>
  <si>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</si>
  <si>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</si>
  <si>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</si>
  <si>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</si>
  <si>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</si>
  <si>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</si>
  <si>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</si>
  <si>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</si>
  <si>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</si>
  <si>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</si>
  <si>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</si>
  <si>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</si>
  <si>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</si>
  <si>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</si>
  <si>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</si>
  <si>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</si>
  <si>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</si>
  <si>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</si>
  <si>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</si>
  <si>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</si>
  <si>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</si>
  <si>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</si>
  <si>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</si>
  <si>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</si>
  <si>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</si>
  <si>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</si>
  <si>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</si>
  <si>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</si>
  <si>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</si>
  <si>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</si>
  <si>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</si>
  <si>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</si>
  <si>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</si>
  <si>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</si>
  <si>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</si>
  <si>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</si>
  <si>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</si>
  <si>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</si>
  <si>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</si>
  <si>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</si>
  <si>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</si>
  <si>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</si>
  <si>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</si>
  <si>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</si>
  <si>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</si>
  <si>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</si>
  <si>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</si>
  <si>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</si>
  <si>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</si>
  <si>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</si>
  <si>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</si>
  <si>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</si>
  <si>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</si>
  <si>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</si>
  <si>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</si>
  <si>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</si>
  <si>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</si>
  <si>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</si>
  <si>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</si>
  <si>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</si>
  <si>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</si>
  <si>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</si>
  <si>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</si>
  <si>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</si>
  <si>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</si>
  <si>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</si>
  <si>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</si>
  <si>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</si>
  <si>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</si>
  <si>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</si>
  <si>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</si>
  <si>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</si>
  <si>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</si>
  <si>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</si>
  <si>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</si>
  <si>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</si>
  <si>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</si>
  <si>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</si>
  <si>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</si>
  <si>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</si>
  <si>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</si>
  <si>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</si>
  <si>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</si>
  <si>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</si>
  <si>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</si>
  <si>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</si>
  <si>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</si>
  <si>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</si>
  <si>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</si>
  <si>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</si>
  <si>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</si>
  <si>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</si>
  <si>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</si>
  <si>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</si>
  <si>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</si>
  <si>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</si>
  <si>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</si>
  <si>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</si>
  <si>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</si>
  <si>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</si>
  <si>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</si>
  <si>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</si>
  <si>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</si>
  <si>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</si>
  <si>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</si>
  <si>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</si>
  <si>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</si>
  <si>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</si>
  <si>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</si>
  <si>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</si>
  <si>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</si>
  <si>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</si>
  <si>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</si>
  <si>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</si>
  <si>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</si>
  <si>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</si>
  <si>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</si>
  <si>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</si>
  <si>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</si>
  <si>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</si>
  <si>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</si>
  <si>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</si>
  <si>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</si>
  <si>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</si>
  <si>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</si>
  <si>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</si>
  <si>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</si>
  <si>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</si>
  <si>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</si>
  <si>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</si>
  <si>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</si>
  <si>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</si>
  <si>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</si>
  <si>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</si>
  <si>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</si>
  <si>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</si>
  <si>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</si>
  <si>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</si>
  <si>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</si>
  <si>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</si>
  <si>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</si>
  <si>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</si>
  <si>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</si>
  <si>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</si>
  <si>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</si>
  <si>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</si>
  <si>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</si>
  <si>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</si>
  <si>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</si>
  <si>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</si>
  <si>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</si>
  <si>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</si>
  <si>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</si>
  <si>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</si>
  <si>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</si>
  <si>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</si>
  <si>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</si>
  <si>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</si>
  <si>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</si>
  <si>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</si>
  <si>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</si>
  <si>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</si>
  <si>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</si>
  <si>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</si>
  <si>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</si>
  <si>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</si>
  <si>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</si>
  <si>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</si>
  <si>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</si>
  <si>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</si>
  <si>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</si>
  <si>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</si>
  <si>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</si>
  <si>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</si>
  <si>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</si>
  <si>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</si>
  <si>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</si>
  <si>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</si>
  <si>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</si>
  <si>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</si>
  <si>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</si>
  <si>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</si>
  <si>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</si>
  <si>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</si>
  <si>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</si>
  <si>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</si>
  <si>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</si>
  <si>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</si>
  <si>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</si>
  <si>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</si>
  <si>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</si>
  <si>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</si>
  <si>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</si>
  <si>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</si>
  <si>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</si>
  <si>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</si>
  <si>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</si>
  <si>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</si>
  <si>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</si>
  <si>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</si>
  <si>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</si>
  <si>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</si>
  <si>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</si>
  <si>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</si>
  <si>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</si>
  <si>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</si>
  <si>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</si>
  <si>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</si>
  <si>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</si>
  <si>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</si>
  <si>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</si>
  <si>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</si>
  <si>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</si>
  <si>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</si>
  <si>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</si>
  <si>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</si>
  <si>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</si>
  <si>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</si>
  <si>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</si>
  <si>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</si>
  <si>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</si>
  <si>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</si>
  <si>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</si>
  <si>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</si>
  <si>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</si>
  <si>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</si>
  <si>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</si>
  <si>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</si>
  <si>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</si>
  <si>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</si>
  <si>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</si>
  <si>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</si>
  <si>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</si>
  <si>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</si>
  <si>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</si>
  <si>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</si>
  <si>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</si>
  <si>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</si>
  <si>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</si>
  <si>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</si>
  <si>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</si>
  <si>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</si>
  <si>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</si>
  <si>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</si>
  <si>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</si>
  <si>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</si>
  <si>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</si>
  <si>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</si>
  <si>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</si>
  <si>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</si>
  <si>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</si>
  <si>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</si>
  <si>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</si>
  <si>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</si>
  <si>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</si>
  <si>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</si>
  <si>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</si>
  <si>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</si>
  <si>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</si>
  <si>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</si>
  <si>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</si>
  <si>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</si>
  <si>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</si>
  <si>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</si>
  <si>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</si>
  <si>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</si>
  <si>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</si>
  <si>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</si>
  <si>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</si>
  <si>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</si>
  <si>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</si>
  <si>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</si>
  <si>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</si>
  <si>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</si>
  <si>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</si>
  <si>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</si>
  <si>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</si>
  <si>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</si>
  <si>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</si>
  <si>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</si>
  <si>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</si>
  <si>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</si>
  <si>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</si>
  <si>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</si>
  <si>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</si>
  <si>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</si>
  <si>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</si>
  <si>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</si>
  <si>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</si>
  <si>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</si>
  <si>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</si>
  <si>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</si>
  <si>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</si>
  <si>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</si>
  <si>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</si>
  <si>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</si>
  <si>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</si>
  <si>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</si>
  <si>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</si>
  <si>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</si>
  <si>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</si>
  <si>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</si>
  <si>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</si>
  <si>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</si>
  <si>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</si>
  <si>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</si>
  <si>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</si>
  <si>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</si>
  <si>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</si>
  <si>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</si>
  <si>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</si>
  <si>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</si>
  <si>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</si>
  <si>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</si>
  <si>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</si>
  <si>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</si>
  <si>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</si>
  <si>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</si>
  <si>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</si>
  <si>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</si>
  <si>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</si>
  <si>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</si>
  <si>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</si>
  <si>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</si>
  <si>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</si>
  <si>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</si>
  <si>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</si>
  <si>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</si>
  <si>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</si>
  <si>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</si>
  <si>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</si>
  <si>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</si>
  <si>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</si>
  <si>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</si>
  <si>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</si>
  <si>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</si>
  <si>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</si>
  <si>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</si>
  <si>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</si>
  <si>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</si>
  <si>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</si>
  <si>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</si>
  <si>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</si>
  <si>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</si>
  <si>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</si>
  <si>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</si>
  <si>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</si>
  <si>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</si>
  <si>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</si>
  <si>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</si>
  <si>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</si>
  <si>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</si>
  <si>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</si>
  <si>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</si>
  <si>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</si>
  <si>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</si>
  <si>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</si>
  <si>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</si>
  <si>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</si>
  <si>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</si>
  <si>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</si>
  <si>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</si>
  <si>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</si>
  <si>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</si>
  <si>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</si>
  <si>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</si>
  <si>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</si>
  <si>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</si>
  <si>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</si>
  <si>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</si>
  <si>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</si>
  <si>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</si>
  <si>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</si>
  <si>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</si>
  <si>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</si>
  <si>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</si>
  <si>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</si>
  <si>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</si>
  <si>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</si>
  <si>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</si>
  <si>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</si>
  <si>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</si>
  <si>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</si>
  <si>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</si>
  <si>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</si>
  <si>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</si>
  <si>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</si>
  <si>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</si>
  <si>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</si>
  <si>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</si>
  <si>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</si>
  <si>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</si>
  <si>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</si>
  <si>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</si>
  <si>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</si>
  <si>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</si>
  <si>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</si>
  <si>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</si>
  <si>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</si>
  <si>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</si>
  <si>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</si>
  <si>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</si>
  <si>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</si>
  <si>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</si>
  <si>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</si>
  <si>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</si>
  <si>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</si>
  <si>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</si>
  <si>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</si>
  <si>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</si>
  <si>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</si>
  <si>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</si>
  <si>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</si>
  <si>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</si>
  <si>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</si>
  <si>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</si>
  <si>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</si>
  <si>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</si>
  <si>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</si>
  <si>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</si>
  <si>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</si>
  <si>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</si>
  <si>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</si>
  <si>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</si>
  <si>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</si>
  <si>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</si>
  <si>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</si>
  <si>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</si>
  <si>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</si>
  <si>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</si>
  <si>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</si>
  <si>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</si>
  <si>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</si>
  <si>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</si>
  <si>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</si>
  <si>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</si>
  <si>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</si>
  <si>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</si>
  <si>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</si>
  <si>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</si>
  <si>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</si>
  <si>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</si>
  <si>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</si>
  <si>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</si>
  <si>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</si>
  <si>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</si>
  <si>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</si>
  <si>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</si>
  <si>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</si>
  <si>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</si>
  <si>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</si>
  <si>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</si>
  <si>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</si>
  <si>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</si>
  <si>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</si>
  <si>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</si>
  <si>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</si>
  <si>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</si>
  <si>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</si>
  <si>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</si>
  <si>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</si>
  <si>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</si>
  <si>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</si>
  <si>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</si>
  <si>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</si>
  <si>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</si>
  <si>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</si>
  <si>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</si>
  <si>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</si>
  <si>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</si>
  <si>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</si>
  <si>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</si>
  <si>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</si>
  <si>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</si>
  <si>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</si>
  <si>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</si>
  <si>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</si>
  <si>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</si>
  <si>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</si>
  <si>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</si>
  <si>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</si>
  <si>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</si>
  <si>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</si>
  <si>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</si>
  <si>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</si>
  <si>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</si>
  <si>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</si>
  <si>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</si>
  <si>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</si>
  <si>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</si>
  <si>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</si>
  <si>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</si>
  <si>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</si>
  <si>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</si>
  <si>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</si>
  <si>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</si>
  <si>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</si>
  <si>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</si>
  <si>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</si>
  <si>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</si>
  <si>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</si>
  <si>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</si>
  <si>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</si>
  <si>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</si>
  <si>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</si>
  <si>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</si>
  <si>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</si>
  <si>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</si>
  <si>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</si>
  <si>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</si>
  <si>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</si>
  <si>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</si>
  <si>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</si>
  <si>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</si>
  <si>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</si>
  <si>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</si>
  <si>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</si>
  <si>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</si>
  <si>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</si>
  <si>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</si>
  <si>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</si>
  <si>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</si>
  <si>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</si>
  <si>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</si>
  <si>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</si>
  <si>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</si>
  <si>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</si>
  <si>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</si>
  <si>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</si>
  <si>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</si>
  <si>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</si>
  <si>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</si>
  <si>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</si>
  <si>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</si>
  <si>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</si>
  <si>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</si>
  <si>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</si>
  <si>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</si>
  <si>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</si>
  <si>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</si>
  <si>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</si>
  <si>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</si>
  <si>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</si>
  <si>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</si>
  <si>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</si>
  <si>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</si>
  <si>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</si>
  <si>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</si>
  <si>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</si>
  <si>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</si>
  <si>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</si>
  <si>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</si>
  <si>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</si>
  <si>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</si>
  <si>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</si>
  <si>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</si>
  <si>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</si>
  <si>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</si>
  <si>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</si>
  <si>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</si>
  <si>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</si>
  <si>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</si>
  <si>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</si>
  <si>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</si>
  <si>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</si>
  <si>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</si>
  <si>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</si>
  <si>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</si>
  <si>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</si>
  <si>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</si>
  <si>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</si>
  <si>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</si>
  <si>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</si>
  <si>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</si>
  <si>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</si>
  <si>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</si>
  <si>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</si>
  <si>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</si>
  <si>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</si>
  <si>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</si>
  <si>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</si>
  <si>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</si>
  <si>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</si>
  <si>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</si>
  <si>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</si>
  <si>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</si>
  <si>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</si>
  <si>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</si>
  <si>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</si>
  <si>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</si>
  <si>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</si>
  <si>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</si>
  <si>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</si>
  <si>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</si>
  <si>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</si>
  <si>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</si>
  <si>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</si>
  <si>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</si>
  <si>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</si>
  <si>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</si>
  <si>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</si>
  <si>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</si>
  <si>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</si>
  <si>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</si>
  <si>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</si>
  <si>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</si>
  <si>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</si>
  <si>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</si>
  <si>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</si>
  <si>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</si>
  <si>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</si>
  <si>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</si>
  <si>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</si>
  <si>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</si>
  <si>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</si>
  <si>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</si>
  <si>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</si>
  <si>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</si>
  <si>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</si>
  <si>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</si>
  <si>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</si>
  <si>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</si>
  <si>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</si>
  <si>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</si>
  <si>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</si>
  <si>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</si>
  <si>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</si>
  <si>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</si>
  <si>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</si>
  <si>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</si>
  <si>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</si>
  <si>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</si>
  <si>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</si>
  <si>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</si>
  <si>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</si>
  <si>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</si>
  <si>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</si>
  <si>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</si>
  <si>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</si>
  <si>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</si>
  <si>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</si>
  <si>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</si>
  <si>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</si>
  <si>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</si>
  <si>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</si>
  <si>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</si>
  <si>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</si>
  <si>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</si>
  <si>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</si>
  <si>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</si>
  <si>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</si>
  <si>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</si>
  <si>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</si>
  <si>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</si>
  <si>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</si>
  <si>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</si>
  <si>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</si>
  <si>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</si>
  <si>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</si>
  <si>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</si>
  <si>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</si>
  <si>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</si>
  <si>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</si>
  <si>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</si>
  <si>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</si>
  <si>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</si>
  <si>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</si>
  <si>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</si>
  <si>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</si>
  <si>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</si>
  <si>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</si>
  <si>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</si>
  <si>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</si>
  <si>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</si>
  <si>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</si>
  <si>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</si>
  <si>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</si>
  <si>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</si>
  <si>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</si>
  <si>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</si>
  <si>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</si>
  <si>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</si>
  <si>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</si>
  <si>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</si>
  <si>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</si>
  <si>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</si>
  <si>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</si>
  <si>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</si>
  <si>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</si>
  <si>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</si>
  <si>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</si>
  <si>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</si>
  <si>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</si>
  <si>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</si>
  <si>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</si>
  <si>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</si>
  <si>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</si>
  <si>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</si>
  <si>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</si>
  <si>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</si>
  <si>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</si>
  <si>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</si>
  <si>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</si>
  <si>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</si>
  <si>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</si>
  <si>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</si>
  <si>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</si>
  <si>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</si>
  <si>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</si>
  <si>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</si>
  <si>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</si>
  <si>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</si>
  <si>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</si>
  <si>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</si>
  <si>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</si>
  <si>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</si>
  <si>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</si>
  <si>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</si>
  <si>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</si>
  <si>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</si>
  <si>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</si>
  <si>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</si>
  <si>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</si>
  <si>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</si>
  <si>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</si>
  <si>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</si>
  <si>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</si>
  <si>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</si>
  <si>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</si>
  <si>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</si>
  <si>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</si>
  <si>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</si>
  <si>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</si>
  <si>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</si>
  <si>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</si>
  <si>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</si>
  <si>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</si>
  <si>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</si>
  <si>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</si>
  <si>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</si>
  <si>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</si>
  <si>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</si>
  <si>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</si>
  <si>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</si>
  <si>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</si>
  <si>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</si>
  <si>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</si>
  <si>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</si>
  <si>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</si>
  <si>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</si>
  <si>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</si>
  <si>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</si>
  <si>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</si>
  <si>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</si>
  <si>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</si>
  <si>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</si>
  <si>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</si>
  <si>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</si>
  <si>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</si>
  <si>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</si>
  <si>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</si>
  <si>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</si>
  <si>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</si>
  <si>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</si>
  <si>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</si>
  <si>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</si>
  <si>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</si>
  <si>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</si>
  <si>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</si>
  <si>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</si>
  <si>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</si>
  <si>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</si>
  <si>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</si>
  <si>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</si>
  <si>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</si>
  <si>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</si>
  <si>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</si>
  <si>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</si>
  <si>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</si>
  <si>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</si>
  <si>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</si>
  <si>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</si>
  <si>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</si>
  <si>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</si>
  <si>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</si>
  <si>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</si>
  <si>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</si>
  <si>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</si>
  <si>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</si>
  <si>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</si>
  <si>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</si>
  <si>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</si>
  <si>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</si>
  <si>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</si>
  <si>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</si>
  <si>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</si>
  <si>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</si>
  <si>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</si>
  <si>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</si>
  <si>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</si>
  <si>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</si>
  <si>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</si>
  <si>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</si>
  <si>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</si>
  <si>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</si>
  <si>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</si>
  <si>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</si>
  <si>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</si>
  <si>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</si>
  <si>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</si>
  <si>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</si>
  <si>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</si>
  <si>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</si>
  <si>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</si>
  <si>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</si>
  <si>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</si>
  <si>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</si>
  <si>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</si>
  <si>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</si>
  <si>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</si>
  <si>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</si>
  <si>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</si>
  <si>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</si>
  <si>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</si>
  <si>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</si>
  <si>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</si>
  <si>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</si>
  <si>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</si>
  <si>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</si>
  <si>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</si>
  <si>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</si>
  <si>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</si>
  <si>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</si>
  <si>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</si>
  <si>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</si>
  <si>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</si>
  <si>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</si>
  <si>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</si>
  <si>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</si>
  <si>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</si>
  <si>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</si>
  <si>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</si>
  <si>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</si>
  <si>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</si>
  <si>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</si>
  <si>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</si>
  <si>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</si>
  <si>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</si>
  <si>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</si>
  <si>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</si>
  <si>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</si>
  <si>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</si>
  <si>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</si>
  <si>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</si>
  <si>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</si>
  <si>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</si>
  <si>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</si>
  <si>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</si>
  <si>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</si>
  <si>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</si>
  <si>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</si>
  <si>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</si>
  <si>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</si>
  <si>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</si>
  <si>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</si>
  <si>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</si>
  <si>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</si>
  <si>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</si>
  <si>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</si>
  <si>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</si>
  <si>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</si>
  <si>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</si>
  <si>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</si>
  <si>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</si>
  <si>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</si>
  <si>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</si>
  <si>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</si>
  <si>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</si>
  <si>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</si>
  <si>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</si>
  <si>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</si>
  <si>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</si>
  <si>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</si>
  <si>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</si>
  <si>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</si>
  <si>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</si>
  <si>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</si>
  <si>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</si>
  <si>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</si>
  <si>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</si>
  <si>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</si>
  <si>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</si>
  <si>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</si>
  <si>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</si>
  <si>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</si>
  <si>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</si>
  <si>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</si>
  <si>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</si>
  <si>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</si>
  <si>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</si>
  <si>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</si>
  <si>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</si>
  <si>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</si>
  <si>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</si>
  <si>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</si>
  <si>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</si>
  <si>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</si>
  <si>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</si>
  <si>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</si>
  <si>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</si>
  <si>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</si>
  <si>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</si>
  <si>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</si>
  <si>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</si>
  <si>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</si>
  <si>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</si>
  <si>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</si>
  <si>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</si>
  <si>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</si>
  <si>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</si>
  <si>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</si>
  <si>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</si>
  <si>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</si>
  <si>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</si>
  <si>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</si>
  <si>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</si>
  <si>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</si>
  <si>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</si>
  <si>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</si>
  <si>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</si>
  <si>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</si>
  <si>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</si>
  <si>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</si>
  <si>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</si>
  <si>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</si>
  <si>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</si>
  <si>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</si>
  <si>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</si>
  <si>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</si>
  <si>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</si>
  <si>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</si>
  <si>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</si>
  <si>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</si>
  <si>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</si>
  <si>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</si>
  <si>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</si>
  <si>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</si>
  <si>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</si>
  <si>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</si>
  <si>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</si>
  <si>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</si>
  <si>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</si>
  <si>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</si>
  <si>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</si>
  <si>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</si>
  <si>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</si>
  <si>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</si>
  <si>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</si>
  <si>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</si>
  <si>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</si>
  <si>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</si>
  <si>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</si>
  <si>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</si>
  <si>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</si>
  <si>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</si>
  <si>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</si>
  <si>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</si>
  <si>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</si>
  <si>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</si>
  <si>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</si>
  <si>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</si>
  <si>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</si>
  <si>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</si>
  <si>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</si>
  <si>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</si>
  <si>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</si>
  <si>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</si>
  <si>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</si>
  <si>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</si>
  <si>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</si>
  <si>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</si>
  <si>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</si>
  <si>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</si>
  <si>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</si>
  <si>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</si>
  <si>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</si>
  <si>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</si>
  <si>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</si>
  <si>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</si>
  <si>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</si>
  <si>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</si>
  <si>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</si>
  <si>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</si>
  <si>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</si>
  <si>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</si>
  <si>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</si>
  <si>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</si>
  <si>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</si>
  <si>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</si>
  <si>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</si>
  <si>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</si>
  <si>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</si>
  <si>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</si>
  <si>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</si>
  <si>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</si>
  <si>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</si>
  <si>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</si>
  <si>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</si>
  <si>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</si>
  <si>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</si>
  <si>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</si>
  <si>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</si>
  <si>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</si>
  <si>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</si>
  <si>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</si>
  <si>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</si>
  <si>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</si>
  <si>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</si>
  <si>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</si>
  <si>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</si>
  <si>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</si>
  <si>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</si>
  <si>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</si>
  <si>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</si>
  <si>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</si>
  <si>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</si>
  <si>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</si>
  <si>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</si>
  <si>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</si>
  <si>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</si>
  <si>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</si>
  <si>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</si>
  <si>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</si>
  <si>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</si>
  <si>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</si>
  <si>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</si>
  <si>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</si>
  <si>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</si>
  <si>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</si>
  <si>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</si>
  <si>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</si>
  <si>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</si>
  <si>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</si>
  <si>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</si>
  <si>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</si>
  <si>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</si>
  <si>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</si>
  <si>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</si>
  <si>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</si>
  <si>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</si>
  <si>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</si>
  <si>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</si>
  <si>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</si>
  <si>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</si>
  <si>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</si>
  <si>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</si>
  <si>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</si>
  <si>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</si>
  <si>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</si>
  <si>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</si>
  <si>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</si>
  <si>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</si>
  <si>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</si>
  <si>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</si>
  <si>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</si>
  <si>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</si>
  <si>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</si>
  <si>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</si>
  <si>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</si>
  <si>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</si>
  <si>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</si>
  <si>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</si>
  <si>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</si>
  <si>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</si>
  <si>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</si>
  <si>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</si>
  <si>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</si>
  <si>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</si>
  <si>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</si>
  <si>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</si>
  <si>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</si>
  <si>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</si>
  <si>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</si>
  <si>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</si>
  <si>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</si>
  <si>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</si>
  <si>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</si>
  <si>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</si>
  <si>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</si>
  <si>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</si>
  <si>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</si>
  <si>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</si>
  <si>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</si>
  <si>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</si>
  <si>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</si>
  <si>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</si>
  <si>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</si>
  <si>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</si>
  <si>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</si>
  <si>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</si>
  <si>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</si>
  <si>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</si>
  <si>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</si>
  <si>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</si>
  <si>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</si>
  <si>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</si>
  <si>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</si>
  <si>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</si>
  <si>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</si>
  <si>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</si>
  <si>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</si>
  <si>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</si>
  <si>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</si>
  <si>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</si>
  <si>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</si>
  <si>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</si>
  <si>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</si>
  <si>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</si>
  <si>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</si>
  <si>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</si>
  <si>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</si>
  <si>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</si>
  <si>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</si>
  <si>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</si>
  <si>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</si>
  <si>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</si>
  <si>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</si>
  <si>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</si>
  <si>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</si>
  <si>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</si>
  <si>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</si>
  <si>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</si>
  <si>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</si>
  <si>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</si>
  <si>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</si>
  <si>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</si>
  <si>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</si>
  <si>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</si>
  <si>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</si>
  <si>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</si>
  <si>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</si>
  <si>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</si>
  <si>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</si>
  <si>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</si>
  <si>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</si>
  <si>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</si>
  <si>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</si>
  <si>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</si>
  <si>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</si>
  <si>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</si>
  <si>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</si>
  <si>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</si>
  <si>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</si>
  <si>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</si>
  <si>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</si>
  <si>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</si>
  <si>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</si>
  <si>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</si>
  <si>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</si>
  <si>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</si>
  <si>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</si>
  <si>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</si>
  <si>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</si>
  <si>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</si>
  <si>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</si>
  <si>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</si>
  <si>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</si>
  <si>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</si>
  <si>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</si>
  <si>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</si>
  <si>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</si>
  <si>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</si>
  <si>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</si>
  <si>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</si>
  <si>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</si>
  <si>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</si>
  <si>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</si>
  <si>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</si>
  <si>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</si>
  <si>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</si>
  <si>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</si>
  <si>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</si>
  <si>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</si>
  <si>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</si>
  <si>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</si>
  <si>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</si>
  <si>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</si>
  <si>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</si>
  <si>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</si>
  <si>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</si>
  <si>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</si>
  <si>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</si>
  <si>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</si>
  <si>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</si>
  <si>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</si>
  <si>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</si>
  <si>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</si>
  <si>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</si>
  <si>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</si>
  <si>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</si>
  <si>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</si>
  <si>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</si>
  <si>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</si>
  <si>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</si>
  <si>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</si>
  <si>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</si>
  <si>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</si>
  <si>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</si>
  <si>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</si>
  <si>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</si>
  <si>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</si>
  <si>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</si>
  <si>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</si>
  <si>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</si>
  <si>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</si>
  <si>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</si>
  <si>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</si>
  <si>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</si>
  <si>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</si>
  <si>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</si>
  <si>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</si>
  <si>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</si>
  <si>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</si>
  <si>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</si>
  <si>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</si>
  <si>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</si>
  <si>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</si>
  <si>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</si>
  <si>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</si>
  <si>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</si>
  <si>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</si>
  <si>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</si>
  <si>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</si>
  <si>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</si>
  <si>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</si>
  <si>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</si>
  <si>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</si>
  <si>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</si>
  <si>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</si>
  <si>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</si>
  <si>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Orders</t>
  </si>
  <si>
    <t>Nombre de TX ID</t>
  </si>
  <si>
    <t>Somme de Quantity</t>
  </si>
  <si>
    <t>Somme de Amount</t>
  </si>
  <si>
    <t>Moyenne de Rating C</t>
  </si>
  <si>
    <t>Moyenne de Days to Deliver</t>
  </si>
  <si>
    <t>Étiquettes de lignes</t>
  </si>
  <si>
    <t>Total général</t>
  </si>
  <si>
    <t>Unknown</t>
  </si>
  <si>
    <t>Female</t>
  </si>
  <si>
    <t>Male</t>
  </si>
  <si>
    <t>Other</t>
  </si>
  <si>
    <t>Étiquettes de colonnes</t>
  </si>
  <si>
    <t>6 to 15</t>
  </si>
  <si>
    <t>Over 15</t>
  </si>
  <si>
    <t>janv</t>
  </si>
  <si>
    <t>févr</t>
  </si>
  <si>
    <t>mars</t>
  </si>
  <si>
    <t>Row Labels</t>
  </si>
  <si>
    <t>Grand Total</t>
  </si>
  <si>
    <t>Column Labels</t>
  </si>
  <si>
    <t>Days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</si>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</sst>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numFmt numFmtId="164" formatCode="#,##0\ &quot;€&quot;"/>
    </dxf>
    <dxf>
      <numFmt numFmtId="164" formatCode="#,##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d\-mmm\-yy"/>
    </dxf>
  </dxfs>
  <tableStyles count="0" defaultTableStyle="TableStyleMedium2" defaultPivotStyle="PivotStyleLight16"/>
  <colors>
    <mruColors>
      <color rgb="FFEFBC95"/>
      <color rgb="FF19FF81"/>
      <color rgb="FF85FF85"/>
      <color rgb="FF00FF00"/>
      <color rgb="FFBD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[ecommerce-dashboard.xlsx]Pivot!pvtTrend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Last 13 Weeks trends - Qty and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>
                <a:lumMod val="75000"/>
                <a:alpha val="92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19050" cap="rnd"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  <a:headEnd type="oval"/>
          </a:ln>
          <a:effectLst/>
        </c:spPr>
        <c:marker>
          <c:symbol val="circle"/>
          <c:size val="6"/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Pivot!$B$8</c:f>
              <c:strCache>
                <c:ptCount val="1"/>
                <c:pt idx="0">
                  <c:v>Somme de Quantity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  <a:alpha val="9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19050" cap="rnd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Pivot!$A$9:$A$22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Pivot!$B$9:$B$22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9-4A3D-BDE5-48BF4FCC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470736"/>
        <c:axId val="1559468336"/>
      </c:lineChart>
      <c:lineChart>
        <c:grouping val="standard"/>
        <c:varyColors val="0"/>
        <c:ser>
          <c:idx val="1"/>
          <c:order val="1"/>
          <c:tx>
            <c:strRef>
              <c:f>Pivot!$C$8</c:f>
              <c:strCache>
                <c:ptCount val="1"/>
                <c:pt idx="0">
                  <c:v>Somme de Amount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  <a:headEnd type="oval"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Pivot!$A$9:$A$22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Pivot!$C$9:$C$22</c:f>
              <c:numCache>
                <c:formatCode>#\ ##0\ "€"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9-4A3D-BDE5-48BF4FCC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735488"/>
        <c:axId val="1555736928"/>
      </c:lineChart>
      <c:catAx>
        <c:axId val="155947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68336"/>
        <c:crosses val="autoZero"/>
        <c:auto val="1"/>
        <c:lblAlgn val="ctr"/>
        <c:lblOffset val="100"/>
        <c:noMultiLvlLbl val="0"/>
      </c:catAx>
      <c:valAx>
        <c:axId val="15594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70736"/>
        <c:crosses val="autoZero"/>
        <c:crossBetween val="between"/>
      </c:valAx>
      <c:valAx>
        <c:axId val="1555736928"/>
        <c:scaling>
          <c:orientation val="minMax"/>
        </c:scaling>
        <c:delete val="0"/>
        <c:axPos val="r"/>
        <c:numFmt formatCode="#\ 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35488"/>
        <c:crosses val="max"/>
        <c:crossBetween val="between"/>
      </c:valAx>
      <c:catAx>
        <c:axId val="1555735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573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[ecommerce-dashboard.xlsx]Pivot!pvtPopularProduct--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 10 popular Products</a:t>
            </a:r>
            <a:r>
              <a:rPr lang="en-US" sz="1600" baseline="0"/>
              <a:t> Breaking by Gender</a:t>
            </a:r>
            <a:endParaRPr lang="en-US" sz="1600"/>
          </a:p>
        </c:rich>
      </c:tx>
      <c:layout>
        <c:manualLayout>
          <c:xMode val="edge"/>
          <c:yMode val="edge"/>
          <c:x val="8.3460423222557117E-2"/>
          <c:y val="2.83117784630593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Pivot!$F$28:$F$29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Pivot!$E$30:$E$40</c:f>
              <c:strCache>
                <c:ptCount val="1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</c:strCache>
            </c:strRef>
          </c:cat>
          <c:val>
            <c:numRef>
              <c:f>Pivot!$F$30:$F$40</c:f>
              <c:numCache>
                <c:formatCode>General</c:formatCode>
                <c:ptCount val="1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251-AD26-773E221DA7C7}"/>
            </c:ext>
          </c:extLst>
        </c:ser>
        <c:ser>
          <c:idx val="1"/>
          <c:order val="1"/>
          <c:tx>
            <c:strRef>
              <c:f>Pivot!$G$28:$G$29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Pivot!$E$30:$E$40</c:f>
              <c:strCache>
                <c:ptCount val="1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</c:strCache>
            </c:strRef>
          </c:cat>
          <c:val>
            <c:numRef>
              <c:f>Pivot!$G$30:$G$40</c:f>
              <c:numCache>
                <c:formatCode>General</c:formatCode>
                <c:ptCount val="1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8-4251-AD26-773E221DA7C7}"/>
            </c:ext>
          </c:extLst>
        </c:ser>
        <c:ser>
          <c:idx val="2"/>
          <c:order val="2"/>
          <c:tx>
            <c:strRef>
              <c:f>Pivot!$H$28:$H$29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Pivot!$E$30:$E$40</c:f>
              <c:strCache>
                <c:ptCount val="1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</c:strCache>
            </c:strRef>
          </c:cat>
          <c:val>
            <c:numRef>
              <c:f>Pivot!$H$30:$H$40</c:f>
              <c:numCache>
                <c:formatCode>General</c:formatCode>
                <c:ptCount val="1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8-4251-AD26-773E221DA7C7}"/>
            </c:ext>
          </c:extLst>
        </c:ser>
        <c:ser>
          <c:idx val="3"/>
          <c:order val="3"/>
          <c:tx>
            <c:strRef>
              <c:f>Pivot!$I$28:$I$29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Pivot!$E$30:$E$40</c:f>
              <c:strCache>
                <c:ptCount val="1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</c:strCache>
            </c:strRef>
          </c:cat>
          <c:val>
            <c:numRef>
              <c:f>Pivot!$I$30:$I$40</c:f>
              <c:numCache>
                <c:formatCode>General</c:formatCode>
                <c:ptCount val="1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8-4251-AD26-773E221DA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100"/>
        <c:axId val="1552489904"/>
        <c:axId val="1552490864"/>
      </c:barChart>
      <c:catAx>
        <c:axId val="1552489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90864"/>
        <c:crosses val="autoZero"/>
        <c:auto val="1"/>
        <c:lblAlgn val="ctr"/>
        <c:lblOffset val="100"/>
        <c:noMultiLvlLbl val="0"/>
      </c:catAx>
      <c:valAx>
        <c:axId val="1552490864"/>
        <c:scaling>
          <c:orientation val="minMax"/>
          <c:max val="2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899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[ecommerce-dashboard.xlsx]Pivot!pvtGender---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</a:t>
            </a:r>
            <a:r>
              <a:rPr lang="en-US" sz="1600" b="1" baseline="0"/>
              <a:t> of sales </a:t>
            </a:r>
          </a:p>
          <a:p>
            <a:pPr>
              <a:defRPr/>
            </a:pPr>
            <a:r>
              <a:rPr lang="en-US" sz="1600" b="1" baseline="0"/>
              <a:t>per genre</a:t>
            </a:r>
            <a:endParaRPr lang="en-US" sz="1600" b="1"/>
          </a:p>
        </c:rich>
      </c:tx>
      <c:layout>
        <c:manualLayout>
          <c:xMode val="edge"/>
          <c:yMode val="edge"/>
          <c:x val="0.36535231174964422"/>
          <c:y val="0.4373331149304724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cap="rnd">
              <a:noFill/>
              <a:prstDash val="solid"/>
              <a:bevel/>
            </a:ln>
            <a:effectLst/>
          </c:spPr>
          <c:txPr>
            <a:bodyPr rot="0" spcFirstLastPara="1" vertOverflow="overflow" horzOverflow="overflow" vert="horz" wrap="square" lIns="1800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3753209423589049E-2"/>
              <c:y val="0.26670059136288243"/>
            </c:manualLayout>
          </c:layout>
          <c:spPr>
            <a:noFill/>
            <a:ln cap="rnd">
              <a:noFill/>
              <a:prstDash val="solid"/>
              <a:bevel/>
            </a:ln>
            <a:effectLst/>
          </c:spPr>
          <c:txPr>
            <a:bodyPr rot="0" spcFirstLastPara="1" vertOverflow="overflow" horzOverflow="overflow" vert="horz" wrap="square" lIns="72000" tIns="19050" rIns="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4964159108158718"/>
                  <c:h val="0.18270925454312809"/>
                </c:manualLayout>
              </c15:layout>
            </c:ext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8995855563493"/>
              <c:y val="0.23748004762036731"/>
            </c:manualLayout>
          </c:layout>
          <c:spPr>
            <a:noFill/>
            <a:ln cap="rnd">
              <a:noFill/>
              <a:prstDash val="solid"/>
              <a:bevel/>
            </a:ln>
            <a:effectLst/>
          </c:spPr>
          <c:txPr>
            <a:bodyPr rot="0" spcFirstLastPara="1" vertOverflow="overflow" horzOverflow="overflow" vert="horz" wrap="square" lIns="1800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407115857406937"/>
                  <c:h val="0.22618724969345561"/>
                </c:manualLayout>
              </c15:layout>
            </c:ext>
          </c:extLst>
        </c:dLbl>
      </c:pivotFmt>
      <c:pivotFmt>
        <c:idx val="9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965809694302396"/>
              <c:y val="-9.3094296986319755E-2"/>
            </c:manualLayout>
          </c:layout>
          <c:tx>
            <c:rich>
              <a:bodyPr rot="0" spcFirstLastPara="1" vertOverflow="overflow" horzOverflow="overflow" vert="horz" wrap="square" lIns="180000" tIns="19050" rIns="38100" bIns="19050" anchor="ctr" anchorCtr="1">
                <a:no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7D5972E-89DD-4DE8-9497-A40FF68A1697}" type="CATEGORYNAME">
                  <a:rPr lang="en-US" sz="1100"/>
                  <a:pPr>
                    <a:defRPr sz="1100" b="1"/>
                  </a:pPr>
                  <a:t>[CATEGORY NAME]</a:t>
                </a:fld>
                <a:r>
                  <a:rPr lang="en-US" sz="1100"/>
                  <a:t> </a:t>
                </a:r>
                <a:fld id="{914885C3-E939-4774-A645-525108EEE68C}" type="PERCENTAGE">
                  <a:rPr lang="en-US" sz="1100" baseline="0"/>
                  <a:pPr>
                    <a:defRPr sz="1100" b="1"/>
                  </a:pPr>
                  <a:t>[PERCENTAGE]</a:t>
                </a:fld>
                <a:endParaRPr lang="en-US" sz="1100"/>
              </a:p>
            </c:rich>
          </c:tx>
          <c:spPr>
            <a:noFill/>
            <a:ln cap="rnd">
              <a:noFill/>
              <a:prstDash val="solid"/>
              <a:bevel/>
            </a:ln>
            <a:effectLst/>
          </c:spPr>
          <c:txPr>
            <a:bodyPr rot="0" spcFirstLastPara="1" vertOverflow="overflow" horzOverflow="overflow" vert="horz" wrap="square" lIns="1800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2307252470554859"/>
                  <c:h val="0.2116945043395502"/>
                </c:manualLayout>
              </c15:layout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8741628051516731E-2"/>
              <c:y val="-0.17273424870191453"/>
            </c:manualLayout>
          </c:layout>
          <c:spPr>
            <a:xfrm>
              <a:off x="1139525" y="224899"/>
              <a:ext cx="1166879" cy="409638"/>
            </a:xfrm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1800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5449"/>
                    <a:gd name="adj2" fmla="val 33443"/>
                  </a:avLst>
                </a:prstGeom>
                <a:noFill/>
                <a:ln>
                  <a:noFill/>
                </a:ln>
              </c15:spPr>
              <c15:layout>
                <c:manualLayout>
                  <c:w val="0.3500198911172821"/>
                  <c:h val="0.1906241066848643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408226349238439"/>
          <c:y val="0.17816133338765625"/>
          <c:w val="0.49567139237453545"/>
          <c:h val="0.78283986329573996"/>
        </c:manualLayout>
      </c:layout>
      <c:doughnutChart>
        <c:varyColors val="1"/>
        <c:ser>
          <c:idx val="0"/>
          <c:order val="0"/>
          <c:tx>
            <c:strRef>
              <c:f>Pivot!$B$40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2-4C81-8E37-45AB9CB5BE87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2-4C81-8E37-45AB9CB5BE87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A2-4C81-8E37-45AB9CB5BE87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A2-4C81-8E37-45AB9CB5BE87}"/>
              </c:ext>
            </c:extLst>
          </c:dPt>
          <c:dLbls>
            <c:dLbl>
              <c:idx val="0"/>
              <c:layout>
                <c:manualLayout>
                  <c:x val="5.3753209423589049E-2"/>
                  <c:y val="0.26670059136288243"/>
                </c:manualLayout>
              </c:layout>
              <c:spPr>
                <a:noFill/>
                <a:ln cap="rnd">
                  <a:noFill/>
                  <a:prstDash val="solid"/>
                  <a:bevel/>
                </a:ln>
                <a:effectLst/>
              </c:spPr>
              <c:txPr>
                <a:bodyPr rot="0" spcFirstLastPara="1" vertOverflow="overflow" horzOverflow="overflow" vert="horz" wrap="square" lIns="72000" tIns="19050" rIns="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964159108158718"/>
                      <c:h val="0.182709254543128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A2-4C81-8E37-45AB9CB5BE87}"/>
                </c:ext>
              </c:extLst>
            </c:dLbl>
            <c:dLbl>
              <c:idx val="1"/>
              <c:layout>
                <c:manualLayout>
                  <c:x val="-0.11388995855563493"/>
                  <c:y val="0.237480047620367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07115857406937"/>
                      <c:h val="0.226187249693455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A2-4C81-8E37-45AB9CB5BE87}"/>
                </c:ext>
              </c:extLst>
            </c:dLbl>
            <c:dLbl>
              <c:idx val="2"/>
              <c:layout>
                <c:manualLayout>
                  <c:x val="-0.15965809694302396"/>
                  <c:y val="-9.3094296986319755E-2"/>
                </c:manualLayout>
              </c:layout>
              <c:tx>
                <c:rich>
                  <a:bodyPr/>
                  <a:lstStyle/>
                  <a:p>
                    <a:fld id="{A7D5972E-89DD-4DE8-9497-A40FF68A1697}" type="CATEGORYNAME">
                      <a:rPr lang="en-US" sz="1100"/>
                      <a:pPr/>
                      <a:t>[CATEGORY NAME]</a:t>
                    </a:fld>
                    <a:r>
                      <a:rPr lang="en-US" sz="1100"/>
                      <a:t> </a:t>
                    </a:r>
                    <a:fld id="{914885C3-E939-4774-A645-525108EEE68C}" type="PERCENTAGE">
                      <a:rPr lang="en-US" sz="1100" baseline="0"/>
                      <a:pPr/>
                      <a:t>[PERCENTAGE]</a:t>
                    </a:fld>
                    <a:endParaRPr lang="en-US" sz="110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07252470554859"/>
                      <c:h val="0.211694504339550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0A2-4C81-8E37-45AB9CB5BE87}"/>
                </c:ext>
              </c:extLst>
            </c:dLbl>
            <c:dLbl>
              <c:idx val="3"/>
              <c:layout>
                <c:manualLayout>
                  <c:x val="-4.8741628051516731E-2"/>
                  <c:y val="-0.17273424870191453"/>
                </c:manualLayout>
              </c:layout>
              <c:spPr>
                <a:xfrm>
                  <a:off x="1139525" y="224899"/>
                  <a:ext cx="1166879" cy="409638"/>
                </a:xfrm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1800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5449"/>
                        <a:gd name="adj2" fmla="val 3344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00198911172821"/>
                      <c:h val="0.190624106684864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A2-4C81-8E37-45AB9CB5BE87}"/>
                </c:ext>
              </c:extLst>
            </c:dLbl>
            <c:spPr>
              <a:noFill/>
              <a:ln cap="rnd">
                <a:noFill/>
                <a:prstDash val="solid"/>
                <a:bevel/>
              </a:ln>
              <a:effectLst/>
            </c:spPr>
            <c:txPr>
              <a:bodyPr rot="0" spcFirstLastPara="1" vertOverflow="overflow" horzOverflow="overflow" vert="horz" wrap="square" lIns="180000" tIns="19050" rIns="38100" bIns="19050" anchor="ctr" anchorCtr="1">
                <a:no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Pivot!$A$41:$A$45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Pivot!$B$41:$B$45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A2-4C81-8E37-45AB9CB5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[ecommerce-dashboard.xlsx]Pivot!pvtPopular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How many They buy 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00000">
                <a:schemeClr val="accent5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5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5">
                  <a:lumMod val="60000"/>
                  <a:lumOff val="40000"/>
                  <a:tint val="23500"/>
                  <a:satMod val="1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00000">
                  <a:schemeClr val="accent5">
                    <a:lumMod val="60000"/>
                    <a:lumOff val="40000"/>
                    <a:tint val="66000"/>
                    <a:satMod val="160000"/>
                  </a:schemeClr>
                </a:gs>
                <a:gs pos="50000">
                  <a:schemeClr val="accent5">
                    <a:lumMod val="60000"/>
                    <a:lumOff val="40000"/>
                    <a:tint val="44500"/>
                    <a:satMod val="160000"/>
                  </a:schemeClr>
                </a:gs>
                <a:gs pos="100000">
                  <a:schemeClr val="accent5">
                    <a:lumMod val="60000"/>
                    <a:lumOff val="40000"/>
                    <a:tint val="23500"/>
                    <a:satMod val="16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cat>
            <c:strRef>
              <c:f>Pivot!$A$29:$A$36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15</c:v>
                </c:pt>
                <c:pt idx="6">
                  <c:v>Over 15</c:v>
                </c:pt>
              </c:strCache>
            </c:strRef>
          </c:cat>
          <c:val>
            <c:numRef>
              <c:f>Pivot!$B$29:$B$36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539</c:v>
                </c:pt>
                <c:pt idx="6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A-4104-BCCD-D81C3425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685330432"/>
        <c:axId val="1692585808"/>
      </c:barChart>
      <c:catAx>
        <c:axId val="16853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585808"/>
        <c:crosses val="autoZero"/>
        <c:auto val="1"/>
        <c:lblAlgn val="ctr"/>
        <c:lblOffset val="100"/>
        <c:noMultiLvlLbl val="0"/>
      </c:catAx>
      <c:valAx>
        <c:axId val="16925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3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[ecommerce-dashboard.xlsx]Pivot!pvtDeliverDays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How long we</a:t>
            </a:r>
            <a:r>
              <a:rPr lang="en-US" sz="1600" baseline="0"/>
              <a:t> take to ship ?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5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5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481851051742803E-2"/>
          <c:y val="0.23344699710059755"/>
          <c:w val="0.86054658313935917"/>
          <c:h val="0.63004396528156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Pivot!$B$51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  <a:lumOff val="40000"/>
                    <a:tint val="66000"/>
                    <a:satMod val="160000"/>
                  </a:schemeClr>
                </a:gs>
                <a:gs pos="50000">
                  <a:schemeClr val="accent5">
                    <a:lumMod val="60000"/>
                    <a:lumOff val="40000"/>
                    <a:tint val="44500"/>
                    <a:satMod val="160000"/>
                  </a:schemeClr>
                </a:gs>
                <a:gs pos="100000">
                  <a:schemeClr val="accent5">
                    <a:lumMod val="60000"/>
                    <a:lumOff val="40000"/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Pivot!$A$52:$A$67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Pivot!$B$52:$B$67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D-4ECE-BCAB-D93C325A3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-27"/>
        <c:axId val="1760761712"/>
        <c:axId val="1760763632"/>
      </c:barChart>
      <c:catAx>
        <c:axId val="17607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63632"/>
        <c:crosses val="autoZero"/>
        <c:auto val="1"/>
        <c:lblAlgn val="ctr"/>
        <c:lblOffset val="100"/>
        <c:noMultiLvlLbl val="0"/>
      </c:catAx>
      <c:valAx>
        <c:axId val="17607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6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[ecommerce-dashboard.xlsx]Pivot!pvtRatings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Customers satisfaction</a:t>
            </a:r>
            <a:r>
              <a:rPr lang="en-US" sz="1600" baseline="0"/>
              <a:t> rate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FBC9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Pivot!$F$54:$F$55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Pivot!$E$56:$E$59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Pivot!$F$56:$F$59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9-468D-A5C2-6350D441974A}"/>
            </c:ext>
          </c:extLst>
        </c:ser>
        <c:ser>
          <c:idx val="1"/>
          <c:order val="1"/>
          <c:tx>
            <c:strRef>
              <c:f>Pivot!$G$54:$G$55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Pivot!$E$56:$E$59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Pivot!$G$56:$G$59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9-468D-A5C2-6350D441974A}"/>
            </c:ext>
          </c:extLst>
        </c:ser>
        <c:ser>
          <c:idx val="2"/>
          <c:order val="2"/>
          <c:tx>
            <c:strRef>
              <c:f>Pivot!$H$54:$H$55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EFBC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Pivot!$E$56:$E$59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Pivot!$H$56:$H$59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9-468D-A5C2-6350D441974A}"/>
            </c:ext>
          </c:extLst>
        </c:ser>
        <c:ser>
          <c:idx val="3"/>
          <c:order val="3"/>
          <c:tx>
            <c:strRef>
              <c:f>Pivot!$I$54:$I$55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Pivot!$E$56:$E$59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Pivot!$I$56:$I$59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15-4087-B833-03F2B61A257F}"/>
            </c:ext>
          </c:extLst>
        </c:ser>
        <c:ser>
          <c:idx val="4"/>
          <c:order val="4"/>
          <c:tx>
            <c:strRef>
              <c:f>Pivot!$J$54:$J$55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Pivot!$E$56:$E$59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Pivot!$J$56:$J$59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15-4087-B833-03F2B61A25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9530992"/>
        <c:axId val="1546945936"/>
      </c:barChart>
      <c:catAx>
        <c:axId val="168953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45936"/>
        <c:crosses val="autoZero"/>
        <c:auto val="1"/>
        <c:lblAlgn val="ctr"/>
        <c:lblOffset val="100"/>
        <c:noMultiLvlLbl val="0"/>
      </c:catAx>
      <c:valAx>
        <c:axId val="1546945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895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[ecommerce-dashboard.xlsx]pivot1!pvtTotaux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Total</a:t>
            </a:r>
            <a:r>
              <a:rPr lang="en-US" sz="1600" b="0" baseline="0"/>
              <a:t> sales per month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24227518138179496"/>
              <c:y val="0.15627439202045967"/>
            </c:manualLayout>
          </c:layout>
          <c:tx>
            <c:rich>
              <a:bodyPr/>
              <a:lstStyle/>
              <a:p>
                <a:r>
                  <a:rPr lang="en-US" baseline="0"/>
                  <a:t>Mars</a:t>
                </a:r>
              </a:p>
              <a:p>
                <a:r>
                  <a:rPr lang="en-US" baseline="0"/>
                  <a:t> </a:t>
                </a:r>
                <a:fld id="{AA05C4C2-8826-448F-9FC4-E3ADB466CA41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169835234474014"/>
                  <c:h val="0.15962902547021521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dLbl>
          <c:idx val="0"/>
          <c:tx>
            <c:rich>
              <a:bodyPr/>
              <a:lstStyle/>
              <a:p>
                <a:r>
                  <a:rPr lang="en-US" baseline="0"/>
                  <a:t>Jan</a:t>
                </a:r>
              </a:p>
              <a:p>
                <a:r>
                  <a:rPr lang="en-US" baseline="0"/>
                  <a:t> </a:t>
                </a:r>
                <a:fld id="{1514ABB1-923C-42DE-86CE-E4C2FFF16E2C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76806083650189"/>
                  <c:h val="0.17104943689278479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-1.9959681845852919E-2"/>
              <c:y val="-0.15652663024124955"/>
            </c:manualLayout>
          </c:layout>
          <c:tx>
            <c:rich>
              <a:bodyPr/>
              <a:lstStyle/>
              <a:p>
                <a:r>
                  <a:rPr lang="en-US" baseline="0"/>
                  <a:t>Fev</a:t>
                </a:r>
              </a:p>
              <a:p>
                <a:r>
                  <a:rPr lang="en-US" baseline="0"/>
                  <a:t> </a:t>
                </a:r>
                <a:fld id="{357A9376-E5A3-4EE6-8AC3-BC4C1151557A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183776932826358"/>
                  <c:h val="0.15962902547021521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tx>
            <c:rich>
              <a:bodyPr/>
              <a:lstStyle/>
              <a:p>
                <a:r>
                  <a:rPr lang="en-US" baseline="0"/>
                  <a:t>Jan</a:t>
                </a:r>
              </a:p>
              <a:p>
                <a:r>
                  <a:rPr lang="en-US" baseline="0"/>
                  <a:t> </a:t>
                </a:r>
                <a:fld id="{1514ABB1-923C-42DE-86CE-E4C2FFF16E2C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76806083650189"/>
                  <c:h val="0.17104943689278479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dLbl>
          <c:idx val="0"/>
          <c:layout>
            <c:manualLayout>
              <c:x val="-1.9959681845852919E-2"/>
              <c:y val="-0.15652663024124955"/>
            </c:manualLayout>
          </c:layout>
          <c:tx>
            <c:rich>
              <a:bodyPr/>
              <a:lstStyle/>
              <a:p>
                <a:r>
                  <a:rPr lang="en-US" baseline="0"/>
                  <a:t>Fev</a:t>
                </a:r>
              </a:p>
              <a:p>
                <a:r>
                  <a:rPr lang="en-US" baseline="0"/>
                  <a:t> </a:t>
                </a:r>
                <a:fld id="{357A9376-E5A3-4EE6-8AC3-BC4C1151557A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183776932826358"/>
                  <c:h val="0.15962902547021521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0.24227518138179496"/>
              <c:y val="0.15627439202045967"/>
            </c:manualLayout>
          </c:layout>
          <c:tx>
            <c:rich>
              <a:bodyPr/>
              <a:lstStyle/>
              <a:p>
                <a:r>
                  <a:rPr lang="en-US" baseline="0"/>
                  <a:t>Mars</a:t>
                </a:r>
              </a:p>
              <a:p>
                <a:r>
                  <a:rPr lang="en-US" baseline="0"/>
                  <a:t> </a:t>
                </a:r>
                <a:fld id="{AA05C4C2-8826-448F-9FC4-E3ADB466CA41}" type="VALUE">
                  <a:rPr lang="en-US" baseline="0"/>
                  <a:pPr/>
                  <a:t>[VALUE]</a:t>
                </a:fld>
                <a:endParaRPr lang="en-US" baseline="0"/>
              </a:p>
            </c:rich>
          </c:tx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169835234474014"/>
                  <c:h val="0.15962902547021521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Jan</a:t>
                </a:r>
              </a:p>
              <a:p>
                <a:pPr>
                  <a:defRPr/>
                </a:pPr>
                <a:r>
                  <a:rPr lang="en-US"/>
                  <a:t> </a:t>
                </a:r>
                <a:fld id="{1514ABB1-923C-42DE-86CE-E4C2FFF16E2C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Fev</a:t>
                </a:r>
              </a:p>
              <a:p>
                <a:pPr>
                  <a:defRPr/>
                </a:pPr>
                <a:r>
                  <a:rPr lang="en-US"/>
                  <a:t> </a:t>
                </a:r>
                <a:fld id="{357A9376-E5A3-4EE6-8AC3-BC4C1151557A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Mars</a:t>
                </a:r>
              </a:p>
              <a:p>
                <a:pPr>
                  <a:defRPr/>
                </a:pPr>
                <a:r>
                  <a:rPr lang="en-US"/>
                  <a:t> </a:t>
                </a:r>
                <a:fld id="{AA05C4C2-8826-448F-9FC4-E3ADB466CA41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355706521739131"/>
          <c:y val="0.1899666731701474"/>
          <c:w val="0.52273490338164241"/>
          <c:h val="0.81003332682985241"/>
        </c:manualLayout>
      </c:layout>
      <c:pieChart>
        <c:varyColors val="1"/>
        <c:ser>
          <c:idx val="0"/>
          <c:order val="0"/>
          <c:tx>
            <c:strRef>
              <c:f>pivot1!$B$22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C9-40B7-B2DD-BCA9B8B24C57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C9-40B7-B2DD-BCA9B8B24C57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C9-40B7-B2DD-BCA9B8B24C5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Jan</a:t>
                    </a:r>
                  </a:p>
                  <a:p>
                    <a:r>
                      <a:rPr lang="en-US"/>
                      <a:t> </a:t>
                    </a:r>
                    <a:fld id="{1514ABB1-923C-42DE-86CE-E4C2FFF16E2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2C9-40B7-B2DD-BCA9B8B24C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Fev</a:t>
                    </a:r>
                  </a:p>
                  <a:p>
                    <a:r>
                      <a:rPr lang="en-US"/>
                      <a:t> </a:t>
                    </a:r>
                    <a:fld id="{357A9376-E5A3-4EE6-8AC3-BC4C1151557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2C9-40B7-B2DD-BCA9B8B24C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Mars</a:t>
                    </a:r>
                  </a:p>
                  <a:p>
                    <a:r>
                      <a:rPr lang="en-US"/>
                      <a:t> </a:t>
                    </a:r>
                    <a:fld id="{AA05C4C2-8826-448F-9FC4-E3ADB466CA4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2C9-40B7-B2DD-BCA9B8B24C5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pivot1!$A$23:$A$25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pivot1!$B$23:$B$25</c:f>
              <c:numCache>
                <c:formatCode>#\ ##0\ "€"</c:formatCode>
                <c:ptCount val="3"/>
                <c:pt idx="0">
                  <c:v>206358.80000000013</c:v>
                </c:pt>
                <c:pt idx="1">
                  <c:v>227221.80000000022</c:v>
                </c:pt>
                <c:pt idx="2">
                  <c:v>215439.19999999995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C9-40B7-B2DD-BCA9B8B24C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136602</xdr:colOff>
      <xdr:row>0</xdr:row>
      <xdr:rowOff>0</xdr:rowOff>
    </xdr:from>
    <xdr:to>
      <xdr:col>26</xdr:col>
      <xdr:colOff>569177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1844132" y="0"/>
          <a:ext cx="13779191" cy="79917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1"/>
          </a:solidFill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151006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2078157" cy="8096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</xdr:row>
      <xdr:rowOff>38049</xdr:rowOff>
    </xdr:from>
    <xdr:to>
      <xdr:col>1</xdr:col>
      <xdr:colOff>1362075</xdr:colOff>
      <xdr:row>5</xdr:row>
      <xdr:rowOff>171399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1573A1-5DDE-3221-536B-6D7C0FC4EE63}"/>
            </a:ext>
          </a:extLst>
        </xdr:cNvPr>
        <xdr:cNvSpPr/>
      </xdr:nvSpPr>
      <xdr:spPr>
        <a:xfrm>
          <a:off x="220701" y="595610"/>
          <a:ext cx="1362075" cy="5050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20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oneCellAnchor>
    <xdr:from>
      <xdr:col>1</xdr:col>
      <xdr:colOff>0</xdr:colOff>
      <xdr:row>2</xdr:row>
      <xdr:rowOff>38100</xdr:rowOff>
    </xdr:from>
    <xdr:ext cx="1161586" cy="352425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1CA09D1-F743-7CE8-BE2C-6EC630C47883}"/>
            </a:ext>
          </a:extLst>
        </xdr:cNvPr>
        <xdr:cNvSpPr txBox="1"/>
      </xdr:nvSpPr>
      <xdr:spPr>
        <a:xfrm>
          <a:off x="220701" y="409807"/>
          <a:ext cx="1161586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🛒 </a:t>
          </a:r>
          <a:r>
            <a:rPr lang="en-US" sz="1400" b="1"/>
            <a:t>ORDERS </a:t>
          </a:r>
        </a:p>
      </xdr:txBody>
    </xdr:sp>
    <xdr:clientData/>
  </xdr:oneCellAnchor>
  <xdr:oneCellAnchor>
    <xdr:from>
      <xdr:col>0</xdr:col>
      <xdr:colOff>220700</xdr:colOff>
      <xdr:row>6</xdr:row>
      <xdr:rowOff>39159</xdr:rowOff>
    </xdr:from>
    <xdr:ext cx="1231281" cy="352425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FA07EB37-54B3-471B-A719-A1111D5045F0}"/>
            </a:ext>
          </a:extLst>
        </xdr:cNvPr>
        <xdr:cNvSpPr txBox="1"/>
      </xdr:nvSpPr>
      <xdr:spPr>
        <a:xfrm>
          <a:off x="220700" y="1154281"/>
          <a:ext cx="1231281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👕 </a:t>
          </a:r>
          <a:r>
            <a:rPr lang="en-US" sz="1400" b="1"/>
            <a:t>QUANTITY </a:t>
          </a:r>
        </a:p>
      </xdr:txBody>
    </xdr:sp>
    <xdr:clientData/>
  </xdr:oneCellAnchor>
  <xdr:oneCellAnchor>
    <xdr:from>
      <xdr:col>0</xdr:col>
      <xdr:colOff>220700</xdr:colOff>
      <xdr:row>10</xdr:row>
      <xdr:rowOff>40218</xdr:rowOff>
    </xdr:from>
    <xdr:ext cx="1335823" cy="352425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F17E35FD-3DFC-46D1-B5A6-0FFA4C10F773}"/>
            </a:ext>
          </a:extLst>
        </xdr:cNvPr>
        <xdr:cNvSpPr txBox="1"/>
      </xdr:nvSpPr>
      <xdr:spPr>
        <a:xfrm>
          <a:off x="220700" y="1898755"/>
          <a:ext cx="1335823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💰 AMOUNT</a:t>
          </a:r>
          <a:r>
            <a:rPr lang="en-US" sz="1400" b="1"/>
            <a:t> </a:t>
          </a:r>
        </a:p>
      </xdr:txBody>
    </xdr:sp>
    <xdr:clientData/>
  </xdr:oneCellAnchor>
  <xdr:oneCellAnchor>
    <xdr:from>
      <xdr:col>0</xdr:col>
      <xdr:colOff>220700</xdr:colOff>
      <xdr:row>14</xdr:row>
      <xdr:rowOff>41277</xdr:rowOff>
    </xdr:from>
    <xdr:ext cx="1231281" cy="352425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F93478C1-E89D-456F-9384-3639F920978D}"/>
            </a:ext>
          </a:extLst>
        </xdr:cNvPr>
        <xdr:cNvSpPr txBox="1"/>
      </xdr:nvSpPr>
      <xdr:spPr>
        <a:xfrm>
          <a:off x="220700" y="2643228"/>
          <a:ext cx="1231281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sz="1400" b="1"/>
            <a:t> </a:t>
          </a:r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/>
            <a:t>RATINGS </a:t>
          </a:r>
        </a:p>
      </xdr:txBody>
    </xdr:sp>
    <xdr:clientData/>
  </xdr:oneCellAnchor>
  <xdr:oneCellAnchor>
    <xdr:from>
      <xdr:col>0</xdr:col>
      <xdr:colOff>162622</xdr:colOff>
      <xdr:row>17</xdr:row>
      <xdr:rowOff>181727</xdr:rowOff>
    </xdr:from>
    <xdr:ext cx="1777226" cy="352425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0496C61-A4FC-43E4-9E1C-3056044E8BFD}"/>
            </a:ext>
          </a:extLst>
        </xdr:cNvPr>
        <xdr:cNvSpPr txBox="1"/>
      </xdr:nvSpPr>
      <xdr:spPr>
        <a:xfrm>
          <a:off x="162622" y="3341239"/>
          <a:ext cx="1777226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📅</a:t>
          </a:r>
          <a:r>
            <a:rPr lang="en-US" sz="1400" b="1"/>
            <a:t> </a:t>
          </a:r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/>
            <a:t>DAYS TO DELIVER </a:t>
          </a:r>
        </a:p>
      </xdr:txBody>
    </xdr:sp>
    <xdr:clientData/>
  </xdr:oneCellAnchor>
  <xdr:twoCellAnchor>
    <xdr:from>
      <xdr:col>11</xdr:col>
      <xdr:colOff>377281</xdr:colOff>
      <xdr:row>15</xdr:row>
      <xdr:rowOff>58078</xdr:rowOff>
    </xdr:from>
    <xdr:to>
      <xdr:col>19</xdr:col>
      <xdr:colOff>39958</xdr:colOff>
      <xdr:row>28</xdr:row>
      <xdr:rowOff>134279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74E5E7B6-C127-14DB-2A59-8A8FE2C5118F}"/>
            </a:ext>
          </a:extLst>
        </xdr:cNvPr>
        <xdr:cNvGrpSpPr/>
      </xdr:nvGrpSpPr>
      <xdr:grpSpPr>
        <a:xfrm>
          <a:off x="6790043" y="2882351"/>
          <a:ext cx="4535932" cy="2523905"/>
          <a:chOff x="6754385" y="2860756"/>
          <a:chExt cx="4494872" cy="2492298"/>
        </a:xfrm>
      </xdr:grpSpPr>
      <xdr:sp macro="" textlink="">
        <xdr:nvSpPr>
          <xdr:cNvPr id="24" name="Rectangle : coins arrondis 23">
            <a:extLst>
              <a:ext uri="{FF2B5EF4-FFF2-40B4-BE49-F238E27FC236}">
                <a16:creationId xmlns:a16="http://schemas.microsoft.com/office/drawing/2014/main" id="{C754811C-D99D-4984-8B69-DC20B8D1239D}"/>
              </a:ext>
            </a:extLst>
          </xdr:cNvPr>
          <xdr:cNvSpPr/>
        </xdr:nvSpPr>
        <xdr:spPr>
          <a:xfrm>
            <a:off x="6754385" y="2860756"/>
            <a:ext cx="4494872" cy="2492298"/>
          </a:xfrm>
          <a:prstGeom prst="roundRect">
            <a:avLst>
              <a:gd name="adj" fmla="val 88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Graphique 3">
            <a:extLst>
              <a:ext uri="{FF2B5EF4-FFF2-40B4-BE49-F238E27FC236}">
                <a16:creationId xmlns:a16="http://schemas.microsoft.com/office/drawing/2014/main" id="{F0CB9289-8499-4AE0-A417-F37B02E075CB}"/>
              </a:ext>
            </a:extLst>
          </xdr:cNvPr>
          <xdr:cNvGraphicFramePr>
            <a:graphicFrameLocks/>
          </xdr:cNvGraphicFramePr>
        </xdr:nvGraphicFramePr>
        <xdr:xfrm>
          <a:off x="6897262" y="2946480"/>
          <a:ext cx="4037671" cy="23494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11</xdr:col>
      <xdr:colOff>371707</xdr:colOff>
      <xdr:row>29</xdr:row>
      <xdr:rowOff>71698</xdr:rowOff>
    </xdr:from>
    <xdr:to>
      <xdr:col>19</xdr:col>
      <xdr:colOff>34847</xdr:colOff>
      <xdr:row>42</xdr:row>
      <xdr:rowOff>58080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430B726B-DD1D-25DE-8215-E86F3CF16B49}"/>
            </a:ext>
          </a:extLst>
        </xdr:cNvPr>
        <xdr:cNvSpPr/>
      </xdr:nvSpPr>
      <xdr:spPr>
        <a:xfrm>
          <a:off x="6748811" y="5461454"/>
          <a:ext cx="4495335" cy="2402480"/>
        </a:xfrm>
        <a:prstGeom prst="roundRect">
          <a:avLst>
            <a:gd name="adj" fmla="val 8831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How they like to buy</a:t>
          </a:r>
        </a:p>
      </xdr:txBody>
    </xdr:sp>
    <xdr:clientData/>
  </xdr:twoCellAnchor>
  <xdr:twoCellAnchor>
    <xdr:from>
      <xdr:col>19</xdr:col>
      <xdr:colOff>151006</xdr:colOff>
      <xdr:row>15</xdr:row>
      <xdr:rowOff>104544</xdr:rowOff>
    </xdr:from>
    <xdr:to>
      <xdr:col>26</xdr:col>
      <xdr:colOff>436758</xdr:colOff>
      <xdr:row>42</xdr:row>
      <xdr:rowOff>58080</xdr:rowOff>
    </xdr:to>
    <xdr:sp macro="" textlink="">
      <xdr:nvSpPr>
        <xdr:cNvPr id="33" name="Rectangle : coins arrondis 32">
          <a:extLst>
            <a:ext uri="{FF2B5EF4-FFF2-40B4-BE49-F238E27FC236}">
              <a16:creationId xmlns:a16="http://schemas.microsoft.com/office/drawing/2014/main" id="{B33C6680-C2AF-4A13-A5D7-CE24CA0F1A0F}"/>
            </a:ext>
          </a:extLst>
        </xdr:cNvPr>
        <xdr:cNvSpPr/>
      </xdr:nvSpPr>
      <xdr:spPr>
        <a:xfrm>
          <a:off x="11360305" y="2892349"/>
          <a:ext cx="4130599" cy="4971585"/>
        </a:xfrm>
        <a:prstGeom prst="roundRect">
          <a:avLst>
            <a:gd name="adj" fmla="val 3064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232316</xdr:colOff>
      <xdr:row>16</xdr:row>
      <xdr:rowOff>58078</xdr:rowOff>
    </xdr:from>
    <xdr:to>
      <xdr:col>26</xdr:col>
      <xdr:colOff>383324</xdr:colOff>
      <xdr:row>41</xdr:row>
      <xdr:rowOff>81310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ED59675E-6DF6-41C4-BEC3-ED3A99E63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81309</xdr:colOff>
      <xdr:row>2</xdr:row>
      <xdr:rowOff>7077</xdr:rowOff>
    </xdr:from>
    <xdr:to>
      <xdr:col>14</xdr:col>
      <xdr:colOff>394939</xdr:colOff>
      <xdr:row>14</xdr:row>
      <xdr:rowOff>61437</xdr:rowOff>
    </xdr:to>
    <xdr:grpSp>
      <xdr:nvGrpSpPr>
        <xdr:cNvPr id="38" name="Groupe 37">
          <a:extLst>
            <a:ext uri="{FF2B5EF4-FFF2-40B4-BE49-F238E27FC236}">
              <a16:creationId xmlns:a16="http://schemas.microsoft.com/office/drawing/2014/main" id="{B1C6612A-65FE-6718-B06A-831B362A6C62}"/>
            </a:ext>
          </a:extLst>
        </xdr:cNvPr>
        <xdr:cNvGrpSpPr/>
      </xdr:nvGrpSpPr>
      <xdr:grpSpPr>
        <a:xfrm>
          <a:off x="5275757" y="383647"/>
          <a:ext cx="3359415" cy="2313778"/>
          <a:chOff x="5227132" y="371708"/>
          <a:chExt cx="3333752" cy="2284604"/>
        </a:xfrm>
      </xdr:grpSpPr>
      <xdr:sp macro="" textlink="">
        <xdr:nvSpPr>
          <xdr:cNvPr id="11" name="Rectangle : coins arrondis 10">
            <a:extLst>
              <a:ext uri="{FF2B5EF4-FFF2-40B4-BE49-F238E27FC236}">
                <a16:creationId xmlns:a16="http://schemas.microsoft.com/office/drawing/2014/main" id="{8D55FADA-F498-4CEA-8085-16FA0BA890FD}"/>
              </a:ext>
            </a:extLst>
          </xdr:cNvPr>
          <xdr:cNvSpPr/>
        </xdr:nvSpPr>
        <xdr:spPr>
          <a:xfrm>
            <a:off x="5471068" y="371708"/>
            <a:ext cx="2787804" cy="2284604"/>
          </a:xfrm>
          <a:prstGeom prst="roundRect">
            <a:avLst>
              <a:gd name="adj" fmla="val 88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8" name="Graphique 27">
            <a:extLst>
              <a:ext uri="{FF2B5EF4-FFF2-40B4-BE49-F238E27FC236}">
                <a16:creationId xmlns:a16="http://schemas.microsoft.com/office/drawing/2014/main" id="{60FD902F-408F-4F14-B7D8-21DCDAB5F4E8}"/>
              </a:ext>
            </a:extLst>
          </xdr:cNvPr>
          <xdr:cNvGraphicFramePr>
            <a:graphicFrameLocks/>
          </xdr:cNvGraphicFramePr>
        </xdr:nvGraphicFramePr>
        <xdr:xfrm>
          <a:off x="5227132" y="418171"/>
          <a:ext cx="3333752" cy="21489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4</xdr:col>
      <xdr:colOff>90835</xdr:colOff>
      <xdr:row>15</xdr:row>
      <xdr:rowOff>58078</xdr:rowOff>
    </xdr:from>
    <xdr:to>
      <xdr:col>11</xdr:col>
      <xdr:colOff>185853</xdr:colOff>
      <xdr:row>28</xdr:row>
      <xdr:rowOff>134278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F2BF5A55-AD58-AB09-3419-30A4D1865AF8}"/>
            </a:ext>
          </a:extLst>
        </xdr:cNvPr>
        <xdr:cNvGrpSpPr/>
      </xdr:nvGrpSpPr>
      <xdr:grpSpPr>
        <a:xfrm>
          <a:off x="2239498" y="2882351"/>
          <a:ext cx="4359117" cy="2523904"/>
          <a:chOff x="2239768" y="2845883"/>
          <a:chExt cx="4323189" cy="2492297"/>
        </a:xfrm>
      </xdr:grpSpPr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55B52AE4-1DFF-4AC2-ABA0-40C942C64C67}"/>
              </a:ext>
            </a:extLst>
          </xdr:cNvPr>
          <xdr:cNvSpPr/>
        </xdr:nvSpPr>
        <xdr:spPr>
          <a:xfrm>
            <a:off x="2239768" y="2845883"/>
            <a:ext cx="4323189" cy="2492297"/>
          </a:xfrm>
          <a:prstGeom prst="roundRect">
            <a:avLst>
              <a:gd name="adj" fmla="val 88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6" name="Graphique 25">
            <a:extLst>
              <a:ext uri="{FF2B5EF4-FFF2-40B4-BE49-F238E27FC236}">
                <a16:creationId xmlns:a16="http://schemas.microsoft.com/office/drawing/2014/main" id="{B5A4D44B-7FB5-4110-B9F4-B9A02CA1CCC7}"/>
              </a:ext>
            </a:extLst>
          </xdr:cNvPr>
          <xdr:cNvGraphicFramePr>
            <a:graphicFrameLocks/>
          </xdr:cNvGraphicFramePr>
        </xdr:nvGraphicFramePr>
        <xdr:xfrm>
          <a:off x="2372189" y="2982022"/>
          <a:ext cx="4005146" cy="21872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19</xdr:col>
      <xdr:colOff>151006</xdr:colOff>
      <xdr:row>2</xdr:row>
      <xdr:rowOff>0</xdr:rowOff>
    </xdr:from>
    <xdr:to>
      <xdr:col>26</xdr:col>
      <xdr:colOff>453019</xdr:colOff>
      <xdr:row>14</xdr:row>
      <xdr:rowOff>69695</xdr:rowOff>
    </xdr:to>
    <xdr:grpSp>
      <xdr:nvGrpSpPr>
        <xdr:cNvPr id="41" name="Groupe 40">
          <a:extLst>
            <a:ext uri="{FF2B5EF4-FFF2-40B4-BE49-F238E27FC236}">
              <a16:creationId xmlns:a16="http://schemas.microsoft.com/office/drawing/2014/main" id="{C28B8D2D-8ADE-B259-C82A-C2FE6055CDC8}"/>
            </a:ext>
          </a:extLst>
        </xdr:cNvPr>
        <xdr:cNvGrpSpPr/>
      </xdr:nvGrpSpPr>
      <xdr:grpSpPr>
        <a:xfrm>
          <a:off x="11437023" y="376570"/>
          <a:ext cx="4178467" cy="2329113"/>
          <a:chOff x="11488079" y="371707"/>
          <a:chExt cx="3949390" cy="2299939"/>
        </a:xfrm>
      </xdr:grpSpPr>
      <xdr:sp macro="" textlink="">
        <xdr:nvSpPr>
          <xdr:cNvPr id="30" name="Rectangle : coins arrondis 29">
            <a:extLst>
              <a:ext uri="{FF2B5EF4-FFF2-40B4-BE49-F238E27FC236}">
                <a16:creationId xmlns:a16="http://schemas.microsoft.com/office/drawing/2014/main" id="{F2DD34BE-6518-447C-877E-D628DB39BAF7}"/>
              </a:ext>
            </a:extLst>
          </xdr:cNvPr>
          <xdr:cNvSpPr/>
        </xdr:nvSpPr>
        <xdr:spPr>
          <a:xfrm>
            <a:off x="11488079" y="371707"/>
            <a:ext cx="3949390" cy="2299939"/>
          </a:xfrm>
          <a:prstGeom prst="roundRect">
            <a:avLst>
              <a:gd name="adj" fmla="val 88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9" name="Graphique 28">
            <a:extLst>
              <a:ext uri="{FF2B5EF4-FFF2-40B4-BE49-F238E27FC236}">
                <a16:creationId xmlns:a16="http://schemas.microsoft.com/office/drawing/2014/main" id="{B510E87A-B1D5-469B-8A3A-0F5890DC429C}"/>
              </a:ext>
            </a:extLst>
          </xdr:cNvPr>
          <xdr:cNvGraphicFramePr>
            <a:graphicFrameLocks/>
          </xdr:cNvGraphicFramePr>
        </xdr:nvGraphicFramePr>
        <xdr:xfrm>
          <a:off x="11685548" y="474396"/>
          <a:ext cx="3596269" cy="21507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4</xdr:col>
      <xdr:colOff>0</xdr:colOff>
      <xdr:row>29</xdr:row>
      <xdr:rowOff>54828</xdr:rowOff>
    </xdr:from>
    <xdr:to>
      <xdr:col>11</xdr:col>
      <xdr:colOff>174237</xdr:colOff>
      <xdr:row>42</xdr:row>
      <xdr:rowOff>58080</xdr:rowOff>
    </xdr:to>
    <xdr:grpSp>
      <xdr:nvGrpSpPr>
        <xdr:cNvPr id="36" name="Groupe 35">
          <a:extLst>
            <a:ext uri="{FF2B5EF4-FFF2-40B4-BE49-F238E27FC236}">
              <a16:creationId xmlns:a16="http://schemas.microsoft.com/office/drawing/2014/main" id="{EA63766F-AE67-1AEE-7A66-13D42031937F}"/>
            </a:ext>
          </a:extLst>
        </xdr:cNvPr>
        <xdr:cNvGrpSpPr/>
      </xdr:nvGrpSpPr>
      <xdr:grpSpPr>
        <a:xfrm>
          <a:off x="2148663" y="5515090"/>
          <a:ext cx="4438336" cy="2450955"/>
          <a:chOff x="2148933" y="5436218"/>
          <a:chExt cx="4402408" cy="2419350"/>
        </a:xfrm>
      </xdr:grpSpPr>
      <xdr:sp macro="" textlink="">
        <xdr:nvSpPr>
          <xdr:cNvPr id="32" name="Rectangle : coins arrondis 31">
            <a:extLst>
              <a:ext uri="{FF2B5EF4-FFF2-40B4-BE49-F238E27FC236}">
                <a16:creationId xmlns:a16="http://schemas.microsoft.com/office/drawing/2014/main" id="{856BDFA7-36D4-49A1-A268-23D2FF2636C5}"/>
              </a:ext>
            </a:extLst>
          </xdr:cNvPr>
          <xdr:cNvSpPr/>
        </xdr:nvSpPr>
        <xdr:spPr>
          <a:xfrm>
            <a:off x="2148933" y="5436218"/>
            <a:ext cx="4402408" cy="2419350"/>
          </a:xfrm>
          <a:prstGeom prst="roundRect">
            <a:avLst>
              <a:gd name="adj" fmla="val 88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1" name="Graphique 30">
            <a:extLst>
              <a:ext uri="{FF2B5EF4-FFF2-40B4-BE49-F238E27FC236}">
                <a16:creationId xmlns:a16="http://schemas.microsoft.com/office/drawing/2014/main" id="{F1FBB2F3-4511-487A-B9B7-40989F8E3E42}"/>
              </a:ext>
            </a:extLst>
          </xdr:cNvPr>
          <xdr:cNvGraphicFramePr>
            <a:graphicFrameLocks/>
          </xdr:cNvGraphicFramePr>
        </xdr:nvGraphicFramePr>
        <xdr:xfrm>
          <a:off x="2282283" y="5517529"/>
          <a:ext cx="4180548" cy="23264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oneCell">
    <xdr:from>
      <xdr:col>0</xdr:col>
      <xdr:colOff>61796</xdr:colOff>
      <xdr:row>30</xdr:row>
      <xdr:rowOff>127773</xdr:rowOff>
    </xdr:from>
    <xdr:to>
      <xdr:col>2</xdr:col>
      <xdr:colOff>183066</xdr:colOff>
      <xdr:row>40</xdr:row>
      <xdr:rowOff>127774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Order Mode">
              <a:extLst>
                <a:ext uri="{FF2B5EF4-FFF2-40B4-BE49-F238E27FC236}">
                  <a16:creationId xmlns:a16="http://schemas.microsoft.com/office/drawing/2014/main" id="{1E73706F-33FD-4BEB-9DCC-252A52ED0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96" y="5776320"/>
              <a:ext cx="1826910" cy="1882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50180</xdr:colOff>
      <xdr:row>22</xdr:row>
      <xdr:rowOff>11615</xdr:rowOff>
    </xdr:from>
    <xdr:to>
      <xdr:col>2</xdr:col>
      <xdr:colOff>171450</xdr:colOff>
      <xdr:row>30</xdr:row>
      <xdr:rowOff>76198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Gender Value">
              <a:extLst>
                <a:ext uri="{FF2B5EF4-FFF2-40B4-BE49-F238E27FC236}">
                  <a16:creationId xmlns:a16="http://schemas.microsoft.com/office/drawing/2014/main" id="{FC69B6ED-1929-4FF5-9546-89FC93F68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Val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80" y="4100395"/>
              <a:ext cx="1828800" cy="1551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511096</xdr:colOff>
          <xdr:row>32</xdr:row>
          <xdr:rowOff>69694</xdr:rowOff>
        </xdr:from>
        <xdr:to>
          <xdr:col>18</xdr:col>
          <xdr:colOff>444021</xdr:colOff>
          <xdr:row>41</xdr:row>
          <xdr:rowOff>104541</xdr:rowOff>
        </xdr:to>
        <xdr:pic>
          <xdr:nvPicPr>
            <xdr:cNvPr id="6" name="Image 5">
              <a:extLst>
                <a:ext uri="{FF2B5EF4-FFF2-40B4-BE49-F238E27FC236}">
                  <a16:creationId xmlns:a16="http://schemas.microsoft.com/office/drawing/2014/main" id="{CC5CB71D-E08D-ED59-F257-6B42E35F41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1!$A$12:$E$17" spid="_x0000_s1056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6888200" y="6017011"/>
              <a:ext cx="4161095" cy="17075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216510</xdr:colOff>
      <xdr:row>2</xdr:row>
      <xdr:rowOff>18694</xdr:rowOff>
    </xdr:from>
    <xdr:to>
      <xdr:col>19</xdr:col>
      <xdr:colOff>16475</xdr:colOff>
      <xdr:row>14</xdr:row>
      <xdr:rowOff>73054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6D93AC43-BE2B-47ED-89D8-F17D8BA31375}"/>
            </a:ext>
          </a:extLst>
        </xdr:cNvPr>
        <xdr:cNvSpPr/>
      </xdr:nvSpPr>
      <xdr:spPr>
        <a:xfrm>
          <a:off x="8456743" y="395264"/>
          <a:ext cx="2845749" cy="2313778"/>
        </a:xfrm>
        <a:prstGeom prst="roundRect">
          <a:avLst>
            <a:gd name="adj" fmla="val 8831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17423</xdr:colOff>
      <xdr:row>2</xdr:row>
      <xdr:rowOff>99632</xdr:rowOff>
    </xdr:from>
    <xdr:to>
      <xdr:col>19</xdr:col>
      <xdr:colOff>133582</xdr:colOff>
      <xdr:row>14</xdr:row>
      <xdr:rowOff>4824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B76557FA-DC3C-48F1-BD15-C16375201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40833</xdr:colOff>
      <xdr:row>3</xdr:row>
      <xdr:rowOff>54209</xdr:rowOff>
    </xdr:from>
    <xdr:to>
      <xdr:col>1</xdr:col>
      <xdr:colOff>1402908</xdr:colOff>
      <xdr:row>5</xdr:row>
      <xdr:rowOff>187560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ABC2332-DBBC-4F8E-8508-816FBFEE805E}"/>
            </a:ext>
          </a:extLst>
        </xdr:cNvPr>
        <xdr:cNvSpPr/>
      </xdr:nvSpPr>
      <xdr:spPr>
        <a:xfrm>
          <a:off x="262345" y="619064"/>
          <a:ext cx="1362075" cy="509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88604</xdr:colOff>
      <xdr:row>3</xdr:row>
      <xdr:rowOff>155058</xdr:rowOff>
    </xdr:from>
    <xdr:to>
      <xdr:col>1</xdr:col>
      <xdr:colOff>1207238</xdr:colOff>
      <xdr:row>6</xdr:row>
      <xdr:rowOff>0</xdr:rowOff>
    </xdr:to>
    <xdr:sp macro="" textlink="KPI!B4">
      <xdr:nvSpPr>
        <xdr:cNvPr id="40" name="TextBox 39">
          <a:extLst>
            <a:ext uri="{FF2B5EF4-FFF2-40B4-BE49-F238E27FC236}">
              <a16:creationId xmlns:a16="http://schemas.microsoft.com/office/drawing/2014/main" id="{53B069D0-2A6B-A773-59CE-29972FB155A6}"/>
            </a:ext>
          </a:extLst>
        </xdr:cNvPr>
        <xdr:cNvSpPr txBox="1"/>
      </xdr:nvSpPr>
      <xdr:spPr>
        <a:xfrm>
          <a:off x="310116" y="719913"/>
          <a:ext cx="1118634" cy="4097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ED2CEF51-865C-442D-878D-CBB520093E38}" type="TxLink">
            <a:rPr lang="en-US" sz="20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effectLst>
                <a:outerShdw blurRad="50800" dist="50800" dir="5400000" algn="ctr" rotWithShape="0">
                  <a:schemeClr val="tx2"/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pPr marL="0" indent="0" algn="l"/>
            <a:t>2400</a:t>
          </a:fld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88604</xdr:colOff>
      <xdr:row>7</xdr:row>
      <xdr:rowOff>74871</xdr:rowOff>
    </xdr:from>
    <xdr:to>
      <xdr:col>1</xdr:col>
      <xdr:colOff>1251540</xdr:colOff>
      <xdr:row>9</xdr:row>
      <xdr:rowOff>108097</xdr:rowOff>
    </xdr:to>
    <xdr:sp macro="" textlink="KPI!C4">
      <xdr:nvSpPr>
        <xdr:cNvPr id="42" name="TextBox 41">
          <a:extLst>
            <a:ext uri="{FF2B5EF4-FFF2-40B4-BE49-F238E27FC236}">
              <a16:creationId xmlns:a16="http://schemas.microsoft.com/office/drawing/2014/main" id="{BA7D92E7-F077-4D2A-943E-1A9FED3C5297}"/>
            </a:ext>
          </a:extLst>
        </xdr:cNvPr>
        <xdr:cNvSpPr txBox="1"/>
      </xdr:nvSpPr>
      <xdr:spPr>
        <a:xfrm>
          <a:off x="310116" y="1392865"/>
          <a:ext cx="1162936" cy="4097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EAACD1E7-5178-46AF-A8F6-CE448FDB7225}" type="TxLink">
            <a:rPr lang="en-US" sz="20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effectLst>
                <a:outerShdw blurRad="50800" dist="50800" dir="5400000" algn="ctr" rotWithShape="0">
                  <a:schemeClr val="tx2"/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pPr marL="0" indent="0" algn="l"/>
            <a:t>11997</a:t>
          </a:fld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88604</xdr:colOff>
      <xdr:row>11</xdr:row>
      <xdr:rowOff>66453</xdr:rowOff>
    </xdr:from>
    <xdr:to>
      <xdr:col>3</xdr:col>
      <xdr:colOff>11075</xdr:colOff>
      <xdr:row>14</xdr:row>
      <xdr:rowOff>33227</xdr:rowOff>
    </xdr:to>
    <xdr:sp macro="" textlink="KPI!D4">
      <xdr:nvSpPr>
        <xdr:cNvPr id="43" name="TextBox 42">
          <a:extLst>
            <a:ext uri="{FF2B5EF4-FFF2-40B4-BE49-F238E27FC236}">
              <a16:creationId xmlns:a16="http://schemas.microsoft.com/office/drawing/2014/main" id="{E9F5561E-8B63-4EDF-A990-E80096AC0139}"/>
            </a:ext>
          </a:extLst>
        </xdr:cNvPr>
        <xdr:cNvSpPr txBox="1"/>
      </xdr:nvSpPr>
      <xdr:spPr>
        <a:xfrm>
          <a:off x="310116" y="2137587"/>
          <a:ext cx="1628110" cy="5316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9F1A062B-C1CB-43DB-85C0-0F4265512A11}" type="TxLink">
            <a:rPr lang="en-US" sz="20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effectLst>
                <a:outerShdw blurRad="50800" dist="50800" dir="5400000" algn="ctr" rotWithShape="0">
                  <a:schemeClr val="tx2"/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pPr marL="0" indent="0" algn="l"/>
            <a:t>$649,020</a:t>
          </a:fld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88604</xdr:colOff>
      <xdr:row>15</xdr:row>
      <xdr:rowOff>77530</xdr:rowOff>
    </xdr:from>
    <xdr:to>
      <xdr:col>1</xdr:col>
      <xdr:colOff>996802</xdr:colOff>
      <xdr:row>17</xdr:row>
      <xdr:rowOff>110756</xdr:rowOff>
    </xdr:to>
    <xdr:sp macro="" textlink="KPI!E4">
      <xdr:nvSpPr>
        <xdr:cNvPr id="44" name="TextBox 43">
          <a:extLst>
            <a:ext uri="{FF2B5EF4-FFF2-40B4-BE49-F238E27FC236}">
              <a16:creationId xmlns:a16="http://schemas.microsoft.com/office/drawing/2014/main" id="{A14F26BA-13C7-4BDB-A7E7-1EF65AA75C6B}"/>
            </a:ext>
          </a:extLst>
        </xdr:cNvPr>
        <xdr:cNvSpPr txBox="1"/>
      </xdr:nvSpPr>
      <xdr:spPr>
        <a:xfrm>
          <a:off x="310116" y="2901803"/>
          <a:ext cx="908198" cy="4097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52011610-6DB6-4C33-8CD3-638B6FD1D5D1}" type="TxLink">
            <a:rPr lang="en-US" sz="20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effectLst>
                <a:outerShdw blurRad="50800" dist="50800" dir="5400000" algn="ctr" rotWithShape="0">
                  <a:schemeClr val="tx2"/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pPr marL="0" indent="0" algn="l"/>
            <a:t>3,96</a:t>
          </a:fld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88604</xdr:colOff>
      <xdr:row>19</xdr:row>
      <xdr:rowOff>44302</xdr:rowOff>
    </xdr:from>
    <xdr:to>
      <xdr:col>1</xdr:col>
      <xdr:colOff>996802</xdr:colOff>
      <xdr:row>21</xdr:row>
      <xdr:rowOff>77528</xdr:rowOff>
    </xdr:to>
    <xdr:sp macro="" textlink="KPI!F4">
      <xdr:nvSpPr>
        <xdr:cNvPr id="45" name="TextBox 44">
          <a:extLst>
            <a:ext uri="{FF2B5EF4-FFF2-40B4-BE49-F238E27FC236}">
              <a16:creationId xmlns:a16="http://schemas.microsoft.com/office/drawing/2014/main" id="{B86F4742-FCAE-4496-B6F6-C209434A1681}"/>
            </a:ext>
          </a:extLst>
        </xdr:cNvPr>
        <xdr:cNvSpPr txBox="1"/>
      </xdr:nvSpPr>
      <xdr:spPr>
        <a:xfrm>
          <a:off x="310116" y="3621715"/>
          <a:ext cx="908198" cy="4097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5DC0427C-E78C-447A-B869-2D6C73CB846B}" type="TxLink">
            <a:rPr lang="en-US" sz="20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pattFill prst="pct5">
                <a:fgClr>
                  <a:schemeClr val="accent1"/>
                </a:fgClr>
                <a:bgClr>
                  <a:schemeClr val="bg1"/>
                </a:bgClr>
              </a:pattFill>
              <a:effectLst>
                <a:outerShdw blurRad="50800" dist="50800" dir="5400000" algn="ctr" rotWithShape="0">
                  <a:schemeClr val="tx2"/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pPr marL="0" indent="0" algn="l"/>
            <a:t>2,34</a:t>
          </a:fld>
          <a:endParaRPr lang="en-US" sz="20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pattFill prst="pct5">
              <a:fgClr>
                <a:schemeClr val="accent1"/>
              </a:fgClr>
              <a:bgClr>
                <a:schemeClr val="bg1"/>
              </a:bgClr>
            </a:pattFill>
            <a:effectLst>
              <a:outerShdw blurRad="50800" dist="50800" dir="5400000" algn="ctr" rotWithShape="0">
                <a:schemeClr val="tx2"/>
              </a:outerShdw>
            </a:effectLst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220701</xdr:colOff>
      <xdr:row>2</xdr:row>
      <xdr:rowOff>33237</xdr:rowOff>
    </xdr:from>
    <xdr:ext cx="1161586" cy="352425"/>
    <xdr:sp macro="" textlink="">
      <xdr:nvSpPr>
        <xdr:cNvPr id="46" name="ZoneTexte 12">
          <a:extLst>
            <a:ext uri="{FF2B5EF4-FFF2-40B4-BE49-F238E27FC236}">
              <a16:creationId xmlns:a16="http://schemas.microsoft.com/office/drawing/2014/main" id="{B23D4B6D-71BB-49C7-8C60-C4CC66438671}"/>
            </a:ext>
          </a:extLst>
        </xdr:cNvPr>
        <xdr:cNvSpPr txBox="1"/>
      </xdr:nvSpPr>
      <xdr:spPr>
        <a:xfrm>
          <a:off x="220701" y="409807"/>
          <a:ext cx="1161586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🛒 </a:t>
          </a:r>
          <a:r>
            <a:rPr lang="en-US" sz="1400" b="1"/>
            <a:t>ORDERS </a:t>
          </a:r>
        </a:p>
      </xdr:txBody>
    </xdr:sp>
    <xdr:clientData/>
  </xdr:oneCellAnchor>
  <xdr:oneCellAnchor>
    <xdr:from>
      <xdr:col>4</xdr:col>
      <xdr:colOff>107286</xdr:colOff>
      <xdr:row>1</xdr:row>
      <xdr:rowOff>108108</xdr:rowOff>
    </xdr:from>
    <xdr:ext cx="3071406" cy="2173462"/>
    <xdr:sp macro="" textlink="">
      <xdr:nvSpPr>
        <xdr:cNvPr id="47" name="ZoneTexte 12">
          <a:extLst>
            <a:ext uri="{FF2B5EF4-FFF2-40B4-BE49-F238E27FC236}">
              <a16:creationId xmlns:a16="http://schemas.microsoft.com/office/drawing/2014/main" id="{C2F98E41-E019-4A24-8E10-3BAA2A468D8F}"/>
            </a:ext>
          </a:extLst>
        </xdr:cNvPr>
        <xdr:cNvSpPr txBox="1"/>
      </xdr:nvSpPr>
      <xdr:spPr>
        <a:xfrm>
          <a:off x="2255949" y="296393"/>
          <a:ext cx="3071406" cy="21734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E-commerce</a:t>
          </a:r>
          <a:r>
            <a:rPr lang="en-US" sz="3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Sales Performance Dashboard</a:t>
          </a:r>
          <a:endParaRPr lang="en-US" sz="3200" b="1"/>
        </a:p>
      </xdr:txBody>
    </xdr:sp>
    <xdr:clientData/>
  </xdr:oneCellAnchor>
  <xdr:oneCellAnchor>
    <xdr:from>
      <xdr:col>4</xdr:col>
      <xdr:colOff>127416</xdr:colOff>
      <xdr:row>12</xdr:row>
      <xdr:rowOff>121831</xdr:rowOff>
    </xdr:from>
    <xdr:ext cx="2364589" cy="352425"/>
    <xdr:sp macro="" textlink="">
      <xdr:nvSpPr>
        <xdr:cNvPr id="48" name="ZoneTexte 12">
          <a:extLst>
            <a:ext uri="{FF2B5EF4-FFF2-40B4-BE49-F238E27FC236}">
              <a16:creationId xmlns:a16="http://schemas.microsoft.com/office/drawing/2014/main" id="{DEEDD561-4FDA-4B7B-B8B9-49E6A2D5C50E}"/>
            </a:ext>
          </a:extLst>
        </xdr:cNvPr>
        <xdr:cNvSpPr txBox="1"/>
      </xdr:nvSpPr>
      <xdr:spPr>
        <a:xfrm>
          <a:off x="2276079" y="2381250"/>
          <a:ext cx="2364589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Realised by Ronald SONOU</a:t>
          </a:r>
          <a:endParaRPr lang="en-US" sz="1200" b="1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567782</xdr:colOff>
      <xdr:row>0</xdr:row>
      <xdr:rowOff>41644</xdr:rowOff>
    </xdr:from>
    <xdr:ext cx="2364589" cy="352425"/>
    <xdr:sp macro="" textlink="">
      <xdr:nvSpPr>
        <xdr:cNvPr id="49" name="ZoneTexte 12">
          <a:extLst>
            <a:ext uri="{FF2B5EF4-FFF2-40B4-BE49-F238E27FC236}">
              <a16:creationId xmlns:a16="http://schemas.microsoft.com/office/drawing/2014/main" id="{7D6B9933-AD53-4EC3-9353-4BE830EB5627}"/>
            </a:ext>
          </a:extLst>
        </xdr:cNvPr>
        <xdr:cNvSpPr txBox="1"/>
      </xdr:nvSpPr>
      <xdr:spPr>
        <a:xfrm>
          <a:off x="13681270" y="41644"/>
          <a:ext cx="2364589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Realised by Ronald SONOU</a:t>
          </a:r>
          <a:endParaRPr lang="en-US" sz="12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22152</xdr:colOff>
      <xdr:row>41</xdr:row>
      <xdr:rowOff>22152</xdr:rowOff>
    </xdr:from>
    <xdr:ext cx="2364589" cy="352425"/>
    <xdr:sp macro="" textlink="">
      <xdr:nvSpPr>
        <xdr:cNvPr id="50" name="ZoneTexte 12">
          <a:extLst>
            <a:ext uri="{FF2B5EF4-FFF2-40B4-BE49-F238E27FC236}">
              <a16:creationId xmlns:a16="http://schemas.microsoft.com/office/drawing/2014/main" id="{A1B54AA8-9D67-44FD-AEE2-C36984B4BE52}"/>
            </a:ext>
          </a:extLst>
        </xdr:cNvPr>
        <xdr:cNvSpPr txBox="1"/>
      </xdr:nvSpPr>
      <xdr:spPr>
        <a:xfrm>
          <a:off x="22152" y="7741832"/>
          <a:ext cx="2364589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Realised by Ronald SONOU</a:t>
          </a:r>
          <a:endParaRPr lang="en-US" sz="1200" b="1">
            <a:solidFill>
              <a:srgbClr val="FF0000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" refreshedDate="46257.006598611108" createdVersion="8" refreshedVersion="8" minRefreshableVersion="3" recordCount="2400" xr:uid="{63081063-4809-4DFE-B9C1-574D3AF16369}">
  <cacheSource type="worksheet">
    <worksheetSource name="orders"/>
  </cacheSource>
  <cacheFields count="18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 count="1764">
        <n v="10.9"/>
        <n v="61.2"/>
        <n v="328.20000000000005"/>
        <n v="263.90000000000003"/>
        <n v="170.10000000000002"/>
        <n v="1002"/>
        <n v="55.3"/>
        <n v="80.599999999999994"/>
        <n v="392.70000000000005"/>
        <n v="156.79999999999998"/>
        <n v="108.8"/>
        <n v="98"/>
        <n v="830.19999999999993"/>
        <n v="2386.8000000000002"/>
        <n v="66.7"/>
        <n v="309"/>
        <n v="93.300000000000011"/>
        <n v="109.80000000000001"/>
        <n v="408.8"/>
        <n v="25.2"/>
        <n v="219"/>
        <n v="560.40000000000009"/>
        <n v="1518.1000000000001"/>
        <n v="211.2"/>
        <n v="710.4"/>
        <n v="175"/>
        <n v="348.3"/>
        <n v="228.8"/>
        <n v="254.5"/>
        <n v="287"/>
        <n v="133.70000000000002"/>
        <n v="830.5"/>
        <n v="89.699999999999989"/>
        <n v="130.19999999999999"/>
        <n v="64"/>
        <n v="31.6"/>
        <n v="3452.7"/>
        <n v="507"/>
        <n v="26.5"/>
        <n v="43.1"/>
        <n v="417"/>
        <n v="80.7"/>
        <n v="109"/>
        <n v="205.79999999999998"/>
        <n v="543.6"/>
        <n v="283.60000000000002"/>
        <n v="318.5"/>
        <n v="29.7"/>
        <n v="80.400000000000006"/>
        <n v="27"/>
        <n v="41.4"/>
        <n v="48.6"/>
        <n v="125.10000000000001"/>
        <n v="36"/>
        <n v="273.89999999999998"/>
        <n v="154.4"/>
        <n v="821.6"/>
        <n v="299.7"/>
        <n v="128.4"/>
        <n v="69.300000000000011"/>
        <n v="142.19999999999999"/>
        <n v="23"/>
        <n v="1314.8"/>
        <n v="26.8"/>
        <n v="93.6"/>
        <n v="226.4"/>
        <n v="168"/>
        <n v="178.2"/>
        <n v="97.7"/>
        <n v="390.8"/>
        <n v="89.6"/>
        <n v="511.2"/>
        <n v="35.799999999999997"/>
        <n v="96.8"/>
        <n v="177.6"/>
        <n v="829.6"/>
        <n v="234.4"/>
        <n v="219.2"/>
        <n v="236.39999999999998"/>
        <n v="184"/>
        <n v="303.60000000000002"/>
        <n v="110.39999999999999"/>
        <n v="376.2"/>
        <n v="77.3"/>
        <n v="79.2"/>
        <n v="62"/>
        <n v="46.8"/>
        <n v="257.40000000000003"/>
        <n v="273.5"/>
        <n v="783"/>
        <n v="100.8"/>
        <n v="799.5"/>
        <n v="120.4"/>
        <n v="374"/>
        <n v="194.70000000000002"/>
        <n v="101"/>
        <n v="441"/>
        <n v="280.79999999999995"/>
        <n v="1242"/>
        <n v="320"/>
        <n v="115.5"/>
        <n v="106"/>
        <n v="55.5"/>
        <n v="253.5"/>
        <n v="218.4"/>
        <n v="586.80000000000007"/>
        <n v="181.6"/>
        <n v="1440"/>
        <n v="75.599999999999994"/>
        <n v="32"/>
        <n v="74.599999999999994"/>
        <n v="119.8"/>
        <n v="52.8"/>
        <n v="459"/>
        <n v="457"/>
        <n v="1111.1999999999998"/>
        <n v="360.6"/>
        <n v="132.89999999999998"/>
        <n v="189.89999999999998"/>
        <n v="66.8"/>
        <n v="119.4"/>
        <n v="552"/>
        <n v="175.2"/>
        <n v="232.6"/>
        <n v="263.5"/>
        <n v="102.60000000000001"/>
        <n v="23.3"/>
        <n v="673.4"/>
        <n v="1592.1"/>
        <n v="227.39999999999998"/>
        <n v="404.09999999999997"/>
        <n v="97.6"/>
        <n v="20.3"/>
        <n v="254.79999999999998"/>
        <n v="19"/>
        <n v="17.8"/>
        <n v="837.59999999999991"/>
        <n v="31.7"/>
        <n v="210.4"/>
        <n v="95.6"/>
        <n v="208.20000000000002"/>
        <n v="309.60000000000002"/>
        <n v="105.6"/>
        <n v="62.8"/>
        <n v="39.700000000000003"/>
        <n v="124.4"/>
        <n v="351"/>
        <n v="228.4"/>
        <n v="449.5"/>
        <n v="336.7"/>
        <n v="58.6"/>
        <n v="115.2"/>
        <n v="202.5"/>
        <n v="911.39999999999986"/>
        <n v="161.19999999999999"/>
        <n v="259"/>
        <n v="183.89999999999998"/>
        <n v="490"/>
        <n v="112.5"/>
        <n v="300"/>
        <n v="120"/>
        <n v="308"/>
        <n v="172.8"/>
        <n v="50.7"/>
        <n v="122"/>
        <n v="39.799999999999997"/>
        <n v="78.3"/>
        <n v="197.6"/>
        <n v="36.1"/>
        <n v="34.6"/>
        <n v="61"/>
        <n v="4346.2"/>
        <n v="76.099999999999994"/>
        <n v="444.6"/>
        <n v="151.5"/>
        <n v="262.5"/>
        <n v="315.7"/>
        <n v="364"/>
        <n v="13.3"/>
        <n v="47.099999999999994"/>
        <n v="51.2"/>
        <n v="43.4"/>
        <n v="300.59999999999997"/>
        <n v="1045"/>
        <n v="70.800000000000011"/>
        <n v="936"/>
        <n v="103.6"/>
        <n v="172.5"/>
        <n v="5654.5"/>
        <n v="334.59999999999997"/>
        <n v="20.399999999999999"/>
        <n v="328"/>
        <n v="355.59999999999997"/>
        <n v="118.80000000000001"/>
        <n v="139"/>
        <n v="260.8"/>
        <n v="98.2"/>
        <n v="98.8"/>
        <n v="455.69999999999993"/>
        <n v="104.2"/>
        <n v="516.79999999999995"/>
        <n v="1554.2"/>
        <n v="24.9"/>
        <n v="148.19999999999999"/>
        <n v="45.4"/>
        <n v="545.5"/>
        <n v="215.6"/>
        <n v="551.19999999999993"/>
        <n v="276"/>
        <n v="138.60000000000002"/>
        <n v="487"/>
        <n v="105"/>
        <n v="65.400000000000006"/>
        <n v="192"/>
        <n v="204.60000000000002"/>
        <n v="107.8"/>
        <n v="248.4"/>
        <n v="231.70000000000002"/>
        <n v="176"/>
        <n v="96.300000000000011"/>
        <n v="38.1"/>
        <n v="65.2"/>
        <n v="386.40000000000003"/>
        <n v="137.69999999999999"/>
        <n v="174.89999999999998"/>
        <n v="44.6"/>
        <n v="213"/>
        <n v="2369.7999999999997"/>
        <n v="202.79999999999998"/>
        <n v="400.20000000000005"/>
        <n v="212.4"/>
        <n v="172.2"/>
        <n v="290.5"/>
        <n v="95.4"/>
        <n v="94.5"/>
        <n v="391.3"/>
        <n v="72.8"/>
        <n v="236.5"/>
        <n v="247.5"/>
        <n v="14.3"/>
        <n v="345.6"/>
        <n v="427.20000000000005"/>
        <n v="30.2"/>
        <n v="195.89999999999998"/>
        <n v="90.2"/>
        <n v="431.90000000000003"/>
        <n v="135.30000000000001"/>
        <n v="113.5"/>
        <n v="17.600000000000001"/>
        <n v="22.6"/>
        <n v="160.19999999999999"/>
        <n v="562.1"/>
        <n v="55"/>
        <n v="33.5"/>
        <n v="59.5"/>
        <n v="94"/>
        <n v="49.7"/>
        <n v="176.8"/>
        <n v="22.1"/>
        <n v="272.70000000000005"/>
        <n v="133.5"/>
        <n v="193.79999999999998"/>
        <n v="243.5"/>
        <n v="527.20000000000005"/>
        <n v="209.5"/>
        <n v="337.5"/>
        <n v="60.4"/>
        <n v="212.79999999999998"/>
        <n v="49"/>
        <n v="317.70000000000005"/>
        <n v="621.59999999999991"/>
        <n v="200.39999999999998"/>
        <n v="336.9"/>
        <n v="564.59999999999991"/>
        <n v="40.700000000000003"/>
        <n v="142.80000000000001"/>
        <n v="280.8"/>
        <n v="151.19999999999999"/>
        <n v="84.300000000000011"/>
        <n v="308.39999999999998"/>
        <n v="195.4"/>
        <n v="255.2"/>
        <n v="40.200000000000003"/>
        <n v="16.2"/>
        <n v="566.30000000000007"/>
        <n v="571.20000000000005"/>
        <n v="563.20000000000005"/>
        <n v="53.5"/>
        <n v="381.70000000000005"/>
        <n v="306.90000000000003"/>
        <n v="1435.7"/>
        <n v="55.2"/>
        <n v="78"/>
        <n v="28.4"/>
        <n v="204.29999999999998"/>
        <n v="297"/>
        <n v="95.1"/>
        <n v="121.6"/>
        <n v="102.4"/>
        <n v="69.8"/>
        <n v="256.20000000000005"/>
        <n v="23.9"/>
        <n v="124.3"/>
        <n v="215.39999999999998"/>
        <n v="138.19999999999999"/>
        <n v="58.4"/>
        <n v="555.90000000000009"/>
        <n v="170.79999999999998"/>
        <n v="200"/>
        <n v="129"/>
        <n v="322"/>
        <n v="114.8"/>
        <n v="165.3"/>
        <n v="279.89999999999998"/>
        <n v="3005.7999999999997"/>
        <n v="149.80000000000001"/>
        <n v="182"/>
        <n v="225"/>
        <n v="151.6"/>
        <n v="48.5"/>
        <n v="296.70000000000005"/>
        <n v="610.79999999999995"/>
        <n v="508.20000000000005"/>
        <n v="20.7"/>
        <n v="520.19999999999993"/>
        <n v="213.8"/>
        <n v="226"/>
        <n v="449.8"/>
        <n v="43.8"/>
        <n v="36.700000000000003"/>
        <n v="81.599999999999994"/>
        <n v="58.2"/>
        <n v="76.800000000000011"/>
        <n v="21.2"/>
        <n v="96.4"/>
        <n v="333.6"/>
        <n v="135.89999999999998"/>
        <n v="42"/>
        <n v="196.20000000000002"/>
        <n v="385.2"/>
        <n v="135"/>
        <n v="39.6"/>
        <n v="239.39999999999998"/>
        <n v="254.4"/>
        <n v="927"/>
        <n v="193.6"/>
        <n v="288"/>
        <n v="324"/>
        <n v="431.2"/>
        <n v="435.59999999999997"/>
        <n v="99.8"/>
        <n v="155.10000000000002"/>
        <n v="125.39999999999999"/>
        <n v="144.80000000000001"/>
        <n v="150.9"/>
        <n v="310.39999999999998"/>
        <n v="327.5"/>
        <n v="270.29999999999995"/>
        <n v="216.6"/>
        <n v="179.7"/>
        <n v="2363"/>
        <n v="261.89999999999998"/>
        <n v="169.2"/>
        <n v="828.8"/>
        <n v="181.8"/>
        <n v="1614.4"/>
        <n v="180"/>
        <n v="499.79999999999995"/>
        <n v="1025.0999999999999"/>
        <n v="721.8"/>
        <n v="340"/>
        <n v="948"/>
        <n v="74"/>
        <n v="302"/>
        <n v="138.6"/>
        <n v="405"/>
        <n v="124.5"/>
        <n v="139.4"/>
        <n v="418"/>
        <n v="150.5"/>
        <n v="112.80000000000001"/>
        <n v="140.4"/>
        <n v="25.4"/>
        <n v="137"/>
        <n v="122.6"/>
        <n v="129.4"/>
        <n v="365.6"/>
        <n v="66.2"/>
        <n v="139.19999999999999"/>
        <n v="494.19999999999993"/>
        <n v="32.200000000000003"/>
        <n v="55.8"/>
        <n v="47.1"/>
        <n v="170"/>
        <n v="178"/>
        <n v="304.5"/>
        <n v="579.5"/>
        <n v="215.4"/>
        <n v="1484.6000000000001"/>
        <n v="1117"/>
        <n v="310.09999999999997"/>
        <n v="766.4"/>
        <n v="158.20000000000002"/>
        <n v="204.8"/>
        <n v="868.8"/>
        <n v="666.9"/>
        <n v="31.2"/>
        <n v="90.9"/>
        <n v="60.6"/>
        <n v="159"/>
        <n v="1078.2"/>
        <n v="91.4"/>
        <n v="184.4"/>
        <n v="52.5"/>
        <n v="109.5"/>
        <n v="95"/>
        <n v="228"/>
        <n v="998"/>
        <n v="67.800000000000011"/>
        <n v="1903.5"/>
        <n v="200.6"/>
        <n v="442.8"/>
        <n v="94.6"/>
        <n v="285.59999999999997"/>
        <n v="393.6"/>
        <n v="28.5"/>
        <n v="73.599999999999994"/>
        <n v="100.5"/>
        <n v="375"/>
        <n v="1916"/>
        <n v="557.40000000000009"/>
        <n v="132.30000000000001"/>
        <n v="11.4"/>
        <n v="83.7"/>
        <n v="46.4"/>
        <n v="162.1"/>
        <n v="196.8"/>
        <n v="531"/>
        <n v="44.8"/>
        <n v="376.5"/>
        <n v="42.6"/>
        <n v="245"/>
        <n v="93.9"/>
        <n v="170.8"/>
        <n v="160"/>
        <n v="77"/>
        <n v="115.6"/>
        <n v="19.2"/>
        <n v="688.8"/>
        <n v="338.8"/>
        <n v="366"/>
        <n v="97.2"/>
        <n v="292.20000000000005"/>
        <n v="64.400000000000006"/>
        <n v="206.4"/>
        <n v="189.6"/>
        <n v="1420"/>
        <n v="292.8"/>
        <n v="50.400000000000006"/>
        <n v="393.79999999999995"/>
        <n v="64.900000000000006"/>
        <n v="207"/>
        <n v="82.4"/>
        <n v="37.799999999999997"/>
        <n v="85.2"/>
        <n v="152"/>
        <n v="55.4"/>
        <n v="249.60000000000002"/>
        <n v="145.4"/>
        <n v="42.4"/>
        <n v="83"/>
        <n v="530.1"/>
        <n v="57.1"/>
        <n v="57.2"/>
        <n v="70.2"/>
        <n v="52.1"/>
        <n v="179.39999999999998"/>
        <n v="333.2"/>
        <n v="495.59999999999997"/>
        <n v="80"/>
        <n v="41.6"/>
        <n v="758.80000000000007"/>
        <n v="77.8"/>
        <n v="21.6"/>
        <n v="629.19999999999993"/>
        <n v="87.6"/>
        <n v="50.2"/>
        <n v="196.79999999999998"/>
        <n v="114.6"/>
        <n v="411.3"/>
        <n v="1628"/>
        <n v="78.400000000000006"/>
        <n v="1065.9000000000001"/>
        <n v="120.2"/>
        <n v="45.8"/>
        <n v="75.2"/>
        <n v="39.200000000000003"/>
        <n v="90.5"/>
        <n v="372.9"/>
        <n v="65.599999999999994"/>
        <n v="49.9"/>
        <n v="396"/>
        <n v="312"/>
        <n v="72"/>
        <n v="41.2"/>
        <n v="1672"/>
        <n v="2235"/>
        <n v="157.19999999999999"/>
        <n v="68.5"/>
        <n v="67.5"/>
        <n v="48"/>
        <n v="65.699999999999989"/>
        <n v="454.30000000000007"/>
        <n v="52.9"/>
        <n v="76.5"/>
        <n v="155.69999999999999"/>
        <n v="46.3"/>
        <n v="136.4"/>
        <n v="40.299999999999997"/>
        <n v="35.700000000000003"/>
        <n v="127"/>
        <n v="54.2"/>
        <n v="164.2"/>
        <n v="214.5"/>
        <n v="416.9"/>
        <n v="22.4"/>
        <n v="1038.7"/>
        <n v="70.599999999999994"/>
        <n v="49.5"/>
        <n v="193.2"/>
        <n v="101.7"/>
        <n v="134.5"/>
        <n v="844"/>
        <n v="84.4"/>
        <n v="26.6"/>
        <n v="53"/>
        <n v="258.8"/>
        <n v="289.3"/>
        <n v="47.8"/>
        <n v="128.39999999999998"/>
        <n v="234"/>
        <n v="641"/>
        <n v="89.1"/>
        <n v="249.29999999999998"/>
        <n v="122.69999999999999"/>
        <n v="251.4"/>
        <n v="61.8"/>
        <n v="36.6"/>
        <n v="113"/>
        <n v="209.29999999999998"/>
        <n v="85.8"/>
        <n v="1065.5999999999999"/>
        <n v="281.2"/>
        <n v="124"/>
        <n v="489.59999999999997"/>
        <n v="1457.5"/>
        <n v="80.2"/>
        <n v="117.60000000000001"/>
        <n v="30.8"/>
        <n v="505.6"/>
        <n v="214.20000000000002"/>
        <n v="524"/>
        <n v="150.80000000000001"/>
        <n v="1482.4"/>
        <n v="69.2"/>
        <n v="116.4"/>
        <n v="532"/>
        <n v="306.60000000000002"/>
        <n v="105.4"/>
        <n v="57.7"/>
        <n v="125"/>
        <n v="55.800000000000004"/>
        <n v="58.8"/>
        <n v="44.2"/>
        <n v="114.9"/>
        <n v="379"/>
        <n v="103"/>
        <n v="203.70000000000002"/>
        <n v="50.6"/>
        <n v="110.5"/>
        <n v="128.69999999999999"/>
        <n v="686.4"/>
        <n v="327.59999999999997"/>
        <n v="45"/>
        <n v="283.2"/>
        <n v="283"/>
        <n v="95.8"/>
        <n v="627.20000000000005"/>
        <n v="1709.3999999999999"/>
        <n v="167.4"/>
        <n v="391.6"/>
        <n v="15"/>
        <n v="283.79999999999995"/>
        <n v="118.19999999999999"/>
        <n v="46.7"/>
        <n v="172"/>
        <n v="243"/>
        <n v="173.6"/>
        <n v="246.4"/>
        <n v="146.10000000000002"/>
        <n v="261.39999999999998"/>
        <n v="26"/>
        <n v="472"/>
        <n v="448.79999999999995"/>
        <n v="1987.2"/>
        <n v="513.9"/>
        <n v="167.29999999999998"/>
        <n v="34.1"/>
        <n v="154"/>
        <n v="210"/>
        <n v="74.400000000000006"/>
        <n v="75"/>
        <n v="169.9"/>
        <n v="144.4"/>
        <n v="20"/>
        <n v="232"/>
        <n v="86.2"/>
        <n v="672.30000000000007"/>
        <n v="128.19999999999999"/>
        <n v="106.8"/>
        <n v="189"/>
        <n v="452.90000000000003"/>
        <n v="111.2"/>
        <n v="72.400000000000006"/>
        <n v="126"/>
        <n v="144.30000000000001"/>
        <n v="86.8"/>
        <n v="31.8"/>
        <n v="126.4"/>
        <n v="259.2"/>
        <n v="54.4"/>
        <n v="87.3"/>
        <n v="129.6"/>
        <n v="177.4"/>
        <n v="140.19999999999999"/>
        <n v="399.5"/>
        <n v="57.6"/>
        <n v="597"/>
        <n v="150"/>
        <n v="138.4"/>
        <n v="87.2"/>
        <n v="122.2"/>
        <n v="223.2"/>
        <n v="99.2"/>
        <n v="359.70000000000005"/>
        <n v="90"/>
        <n v="102.2"/>
        <n v="97.5"/>
        <n v="78.099999999999994"/>
        <n v="661.2"/>
        <n v="258.89999999999998"/>
        <n v="441.59999999999997"/>
        <n v="880.1"/>
        <n v="853.19999999999993"/>
        <n v="412.2"/>
        <n v="48.4"/>
        <n v="434.70000000000005"/>
        <n v="164"/>
        <n v="357"/>
        <n v="109.2"/>
        <n v="71.400000000000006"/>
        <n v="104.8"/>
        <n v="226.79999999999998"/>
        <n v="2011.6"/>
        <n v="1299.6000000000001"/>
        <n v="1101.6000000000001"/>
        <n v="235"/>
        <n v="211.4"/>
        <n v="401.09999999999997"/>
        <n v="585.9"/>
        <n v="18.600000000000001"/>
        <n v="1015.3"/>
        <n v="245.10000000000002"/>
        <n v="81.8"/>
        <n v="283.8"/>
        <n v="145.6"/>
        <n v="59.1"/>
        <n v="1266.5"/>
        <n v="549.20000000000005"/>
        <n v="214.8"/>
        <n v="706.30000000000007"/>
        <n v="83.6"/>
        <n v="355.6"/>
        <n v="62.5"/>
        <n v="140.69999999999999"/>
        <n v="135.60000000000002"/>
        <n v="474.8"/>
        <n v="57.8"/>
        <n v="19.5"/>
        <n v="149.6"/>
        <n v="181.5"/>
        <n v="400.40000000000003"/>
        <n v="224"/>
        <n v="67.400000000000006"/>
        <n v="106.80000000000001"/>
        <n v="1064"/>
        <n v="602.40000000000009"/>
        <n v="87.4"/>
        <n v="33.299999999999997"/>
        <n v="591"/>
        <n v="86.699999999999989"/>
        <n v="166.8"/>
        <n v="66.300000000000011"/>
        <n v="1391.6000000000001"/>
        <n v="399.59999999999997"/>
        <n v="45.2"/>
        <n v="1202.3999999999999"/>
        <n v="83.2"/>
        <n v="717.5"/>
        <n v="446.40000000000003"/>
        <n v="973.4"/>
        <n v="296.5"/>
        <n v="591.59999999999991"/>
        <n v="389.2"/>
        <n v="76.8"/>
        <n v="379.79999999999995"/>
        <n v="46"/>
        <n v="114"/>
        <n v="797"/>
        <n v="244"/>
        <n v="339.5"/>
        <n v="247.2"/>
        <n v="46.1"/>
        <n v="264"/>
        <n v="191.4"/>
        <n v="94.4"/>
        <n v="117.2"/>
        <n v="171"/>
        <n v="303.5"/>
        <n v="304"/>
        <n v="323"/>
        <n v="21.9"/>
        <n v="400.79999999999995"/>
        <n v="51.7"/>
        <n v="339.6"/>
        <n v="685.3"/>
        <n v="39.5"/>
        <n v="92.699999999999989"/>
        <n v="844.8"/>
        <n v="157.80000000000001"/>
        <n v="1632"/>
        <n v="1382"/>
        <n v="90.6"/>
        <n v="230.2"/>
        <n v="316"/>
        <n v="68.2"/>
        <n v="539.5"/>
        <n v="630.5"/>
        <n v="104.10000000000001"/>
        <n v="16.8"/>
        <n v="167.7"/>
        <n v="266"/>
        <n v="312.60000000000002"/>
        <n v="38"/>
        <n v="254.39999999999998"/>
        <n v="255.6"/>
        <n v="196.5"/>
        <n v="232.4"/>
        <n v="91.6"/>
        <n v="161.10000000000002"/>
        <n v="216"/>
        <n v="568.20000000000005"/>
        <n v="167.2"/>
        <n v="201.60000000000002"/>
        <n v="296.39999999999998"/>
        <n v="222"/>
        <n v="175.5"/>
        <n v="592"/>
        <n v="1332"/>
        <n v="129.19999999999999"/>
        <n v="285.89999999999998"/>
        <n v="77.400000000000006"/>
        <n v="23.2"/>
        <n v="52.3"/>
        <n v="1122"/>
        <n v="173"/>
        <n v="225.6"/>
        <n v="497.7"/>
        <n v="2114"/>
        <n v="23.6"/>
        <n v="141.4"/>
        <n v="86.4"/>
        <n v="630"/>
        <n v="41"/>
        <n v="482.40000000000003"/>
        <n v="361.5"/>
        <n v="90.4"/>
        <n v="88.4"/>
        <n v="282.29999999999995"/>
        <n v="53.699999999999996"/>
        <n v="368.90000000000003"/>
        <n v="36.799999999999997"/>
        <n v="267.60000000000002"/>
        <n v="106.4"/>
        <n v="112.19999999999999"/>
        <n v="435.2"/>
        <n v="192.5"/>
        <n v="465"/>
        <n v="20.9"/>
        <n v="107.6"/>
        <n v="73.800000000000011"/>
        <n v="212.70000000000002"/>
        <n v="95.699999999999989"/>
        <n v="40.799999999999997"/>
        <n v="37.200000000000003"/>
        <n v="241.5"/>
        <n v="110.8"/>
        <n v="108"/>
        <n v="184.1"/>
        <n v="721"/>
        <n v="699"/>
        <n v="161"/>
        <n v="66"/>
        <n v="50.4"/>
        <n v="412.20000000000005"/>
        <n v="66.599999999999994"/>
        <n v="252"/>
        <n v="89.8"/>
        <n v="214.79999999999998"/>
        <n v="277.5"/>
        <n v="955.5"/>
        <n v="67.599999999999994"/>
        <n v="229.5"/>
        <n v="127.80000000000001"/>
        <n v="147.30000000000001"/>
        <n v="85.3"/>
        <n v="172.4"/>
        <n v="184.8"/>
        <n v="47.2"/>
        <n v="1101.5999999999999"/>
        <n v="24.7"/>
        <n v="154.70000000000002"/>
        <n v="18.100000000000001"/>
        <n v="117.6"/>
        <n v="61.6"/>
        <n v="24"/>
        <n v="17.899999999999999"/>
        <n v="77.2"/>
        <n v="163.5"/>
        <n v="222.8"/>
        <n v="481.79999999999995"/>
        <n v="117.8"/>
        <n v="150.89999999999998"/>
        <n v="270"/>
        <n v="268.20000000000005"/>
        <n v="495"/>
        <n v="224.5"/>
        <n v="329.7"/>
        <n v="130.5"/>
        <n v="334"/>
        <n v="335.8"/>
        <n v="311.40000000000003"/>
        <n v="105.30000000000001"/>
        <n v="37.9"/>
        <n v="96"/>
        <n v="101.2"/>
        <n v="408.5"/>
        <n v="101.4"/>
        <n v="1278.7"/>
        <n v="1348.6"/>
        <n v="32.9"/>
        <n v="201.6"/>
        <n v="100.4"/>
        <n v="67.2"/>
        <n v="39.299999999999997"/>
        <n v="488"/>
        <n v="582.4"/>
        <n v="369.6"/>
        <n v="2659.2"/>
        <n v="343.2"/>
        <n v="1515.8"/>
        <n v="377.3"/>
        <n v="106.2"/>
        <n v="224.8"/>
        <n v="773"/>
        <n v="751.4"/>
        <n v="631.5"/>
        <n v="205.20000000000002"/>
        <n v="513.29999999999995"/>
        <n v="28"/>
        <n v="351.40000000000003"/>
        <n v="112"/>
        <n v="76.599999999999994"/>
        <n v="111.5"/>
        <n v="66.900000000000006"/>
        <n v="188"/>
        <n v="61.4"/>
        <n v="452.5"/>
        <n v="126.5"/>
        <n v="174.3"/>
        <n v="224.70000000000002"/>
        <n v="65"/>
        <n v="310"/>
        <n v="173.39999999999998"/>
        <n v="342.4"/>
        <n v="315.2"/>
        <n v="199.20000000000002"/>
        <n v="143.6"/>
        <n v="55.1"/>
        <n v="274.3"/>
        <n v="169"/>
        <n v="224.4"/>
        <n v="58.5"/>
        <n v="84.2"/>
        <n v="208"/>
        <n v="157.5"/>
        <n v="810"/>
        <n v="276.60000000000002"/>
        <n v="396.90000000000003"/>
        <n v="297.7"/>
        <n v="1018.4"/>
        <n v="500.40000000000003"/>
        <n v="372.29999999999995"/>
        <n v="946.39999999999986"/>
        <n v="353.4"/>
        <n v="162"/>
        <n v="445"/>
        <n v="282"/>
        <n v="110.4"/>
        <n v="1398.6"/>
        <n v="443.6"/>
        <n v="403.79999999999995"/>
        <n v="209.10000000000002"/>
        <n v="39.1"/>
        <n v="625.79999999999995"/>
        <n v="83.4"/>
        <n v="147"/>
        <n v="132.5"/>
        <n v="30.3"/>
        <n v="476.40000000000003"/>
        <n v="589"/>
        <n v="348.2"/>
        <n v="141.6"/>
        <n v="57"/>
        <n v="2132"/>
        <n v="359.1"/>
        <n v="73.3"/>
        <n v="51.6"/>
        <n v="44.9"/>
        <n v="108.6"/>
        <n v="33"/>
        <n v="481.20000000000005"/>
        <n v="392"/>
        <n v="417.6"/>
        <n v="32.799999999999997"/>
        <n v="44"/>
        <n v="258"/>
        <n v="544"/>
        <n v="263.7"/>
        <n v="122.7"/>
        <n v="160.29999999999998"/>
        <n v="255"/>
        <n v="70.199999999999989"/>
        <n v="342"/>
        <n v="51.9"/>
        <n v="132"/>
        <n v="148.80000000000001"/>
        <n v="61.800000000000004"/>
        <n v="197.2"/>
        <n v="48.2"/>
        <n v="261.60000000000002"/>
        <n v="223.20000000000002"/>
        <n v="45.6"/>
        <n v="156.80000000000001"/>
        <n v="51.8"/>
        <n v="74.7"/>
        <n v="67.199999999999989"/>
        <n v="125.6"/>
        <n v="22.3"/>
        <n v="81"/>
        <n v="598.4"/>
        <n v="516.4"/>
        <n v="484.79999999999995"/>
        <n v="145.5"/>
        <n v="92.5"/>
        <n v="189.4"/>
        <n v="232.79999999999998"/>
        <n v="204"/>
        <n v="445.90000000000003"/>
        <n v="132.4"/>
        <n v="96.899999999999991"/>
        <n v="133.80000000000001"/>
        <n v="302.39999999999998"/>
        <n v="177"/>
        <n v="230"/>
        <n v="218.6"/>
        <n v="133.19999999999999"/>
        <n v="238.5"/>
        <n v="92"/>
        <n v="235.79999999999998"/>
        <n v="286"/>
        <n v="217"/>
        <n v="341"/>
        <n v="1129"/>
        <n v="303.3"/>
        <n v="353"/>
        <n v="136.80000000000001"/>
        <n v="319.39999999999998"/>
        <n v="76"/>
        <n v="546.59999999999991"/>
        <n v="470.5"/>
        <n v="189.9"/>
        <n v="107.10000000000001"/>
        <n v="77.099999999999994"/>
        <n v="284.40000000000003"/>
        <n v="64.2"/>
        <n v="111.6"/>
        <n v="56.2"/>
        <n v="289.79999999999995"/>
        <n v="225.40000000000003"/>
        <n v="1358"/>
        <n v="318.29999999999995"/>
        <n v="70.5"/>
        <n v="71.2"/>
        <n v="580.30000000000007"/>
        <n v="321.29999999999995"/>
        <n v="62.7"/>
        <n v="242.39999999999998"/>
        <n v="357.6"/>
        <n v="765.59999999999991"/>
        <n v="178.8"/>
        <n v="15.9"/>
        <n v="157.4"/>
        <n v="355.20000000000005"/>
        <n v="86"/>
        <n v="1288.5999999999999"/>
        <n v="169.8"/>
        <n v="1098.5"/>
        <n v="527"/>
        <n v="275.8"/>
        <n v="62.3"/>
        <n v="245.5"/>
        <n v="974.59999999999991"/>
        <n v="99.4"/>
        <n v="29"/>
        <n v="60.7"/>
        <n v="349.6"/>
        <n v="311.5"/>
        <n v="141"/>
        <n v="50.099999999999994"/>
        <n v="155"/>
        <n v="326"/>
        <n v="192.6"/>
        <n v="68.599999999999994"/>
        <n v="241"/>
        <n v="51.4"/>
        <n v="586"/>
        <n v="88.2"/>
        <n v="134.4"/>
        <n v="105.2"/>
        <n v="479.5"/>
        <n v="404.70000000000005"/>
        <n v="303"/>
        <n v="87"/>
        <n v="374.2"/>
        <n v="221.6"/>
        <n v="469.3"/>
        <n v="24.1"/>
        <n v="91.5"/>
        <n v="409.79999999999995"/>
        <n v="129.89999999999998"/>
        <n v="108.4"/>
        <n v="102"/>
        <n v="46.2"/>
        <n v="612.5"/>
        <n v="153"/>
        <n v="212"/>
        <n v="440.6"/>
        <n v="137.10000000000002"/>
        <n v="235.5"/>
        <n v="978"/>
        <n v="127.19999999999999"/>
        <n v="745"/>
        <n v="284.39999999999998"/>
        <n v="51.900000000000006"/>
        <n v="311.60000000000002"/>
        <n v="29.1"/>
        <n v="126.60000000000001"/>
        <n v="701.1"/>
        <n v="926"/>
        <n v="164.39999999999998"/>
        <n v="681.59999999999991"/>
        <n v="1557.6000000000001"/>
        <n v="270.60000000000002"/>
        <n v="22"/>
        <n v="61.5"/>
        <n v="190.4"/>
        <n v="121.9"/>
        <n v="895.19999999999993"/>
        <n v="54.1"/>
        <n v="54.8"/>
        <n v="395.2"/>
        <n v="628.79999999999995"/>
        <n v="134.80000000000001"/>
        <n v="215.5"/>
        <n v="161.4"/>
        <n v="144.20000000000002"/>
        <n v="111.30000000000001"/>
        <n v="118"/>
        <n v="64.599999999999994"/>
        <n v="59.2"/>
        <n v="81.2"/>
        <n v="26.2"/>
        <n v="1320"/>
        <n v="262.39999999999998"/>
        <n v="391.20000000000005"/>
        <n v="1824.9"/>
        <n v="54.5"/>
        <n v="344.5"/>
        <n v="124.8"/>
        <n v="488.40000000000003"/>
        <n v="49.6"/>
        <n v="2996.9999999999995"/>
        <n v="79.199999999999989"/>
        <n v="34.4"/>
        <n v="464.8"/>
        <n v="27.1"/>
        <n v="40.5"/>
        <n v="233.70000000000002"/>
        <n v="148.4"/>
        <n v="154.80000000000001"/>
        <n v="294"/>
        <n v="289.8"/>
        <n v="272"/>
        <n v="66.3"/>
        <n v="287.70000000000005"/>
        <n v="156.19999999999999"/>
        <n v="113.6"/>
        <n v="163.4"/>
        <n v="113.4"/>
        <n v="210.6"/>
        <n v="190.2"/>
        <n v="345.2"/>
        <n v="80.099999999999994"/>
        <n v="136.19999999999999"/>
        <n v="81.7"/>
        <n v="251"/>
        <n v="20.2"/>
        <n v="624"/>
        <n v="38.4"/>
        <n v="292.59999999999997"/>
        <n v="224.39999999999998"/>
        <n v="180.60000000000002"/>
        <n v="183"/>
        <n v="278.5"/>
        <n v="153.4"/>
        <n v="592.19999999999993"/>
        <n v="466"/>
        <n v="78.2"/>
        <n v="543.59999999999991"/>
        <n v="237.29999999999998"/>
        <n v="41.9"/>
        <n v="92.4"/>
        <n v="340.8"/>
        <n v="70"/>
        <n v="88"/>
        <n v="222.29999999999998"/>
        <n v="161.9"/>
        <n v="32.1"/>
        <n v="419.2"/>
        <n v="404.40000000000003"/>
        <n v="230.4"/>
        <n v="730.40000000000009"/>
        <n v="817.19999999999993"/>
        <n v="162.5"/>
        <n v="183.60000000000002"/>
        <n v="229.6"/>
        <n v="229.20000000000002"/>
        <n v="211.20000000000002"/>
        <n v="223.79999999999998"/>
        <n v="1089"/>
        <n v="101.39999999999999"/>
        <n v="85.7"/>
        <n v="184.2"/>
        <n v="195.29999999999998"/>
        <n v="142.1"/>
        <n v="59.6"/>
        <n v="57.3"/>
        <n v="108.9"/>
        <n v="594.9"/>
        <n v="183.5"/>
        <n v="328.1"/>
        <n v="82.8"/>
        <n v="164.10000000000002"/>
        <n v="41.1"/>
        <n v="348"/>
        <n v="205.6"/>
        <n v="79.599999999999994"/>
        <n v="305"/>
        <n v="166.1"/>
        <n v="499.09999999999997"/>
        <n v="25.8"/>
        <n v="198"/>
        <n v="128"/>
        <n v="1457.6"/>
        <n v="43.6"/>
        <n v="92.6"/>
        <n v="62.2"/>
        <n v="321.3"/>
        <n v="219.6"/>
        <n v="18.2"/>
        <n v="59.7"/>
        <n v="210.89999999999998"/>
        <n v="413.6"/>
        <n v="246"/>
        <n v="87.9"/>
        <n v="251.8"/>
        <n v="146.5"/>
        <n v="126.8"/>
        <n v="131.5"/>
        <n v="199"/>
        <n v="412.5"/>
        <n v="45.1"/>
        <n v="344"/>
        <n v="453.59999999999997"/>
        <n v="533.4"/>
        <n v="85.6"/>
        <n v="100"/>
        <n v="753.5"/>
        <n v="19.600000000000001"/>
        <n v="63.599999999999994"/>
        <n v="297.5"/>
        <n v="34"/>
        <n v="103.2"/>
        <n v="147.6"/>
        <n v="812.40000000000009"/>
        <n v="306.59999999999997"/>
        <n v="431.40000000000003"/>
        <n v="52.6"/>
        <n v="32.700000000000003"/>
        <n v="155.6"/>
        <n v="242"/>
        <n v="1339.8"/>
        <n v="77.7"/>
        <n v="241.2"/>
        <n v="248.2"/>
        <n v="462"/>
        <n v="7446.6"/>
        <n v="321.5"/>
        <n v="109.6"/>
        <n v="792.5"/>
        <n v="287.60000000000002"/>
        <n v="59"/>
        <n v="167.6"/>
        <n v="323.39999999999998"/>
        <n v="718.19999999999993"/>
        <n v="22.9"/>
        <n v="48.599999999999994"/>
        <n v="238"/>
        <n v="131"/>
        <n v="118.4"/>
        <n v="166"/>
        <n v="805.19999999999993"/>
        <n v="57.4"/>
        <n v="528.4"/>
        <n v="657.4"/>
        <n v="166.5"/>
        <n v="800.40000000000009"/>
        <n v="378.90000000000003"/>
        <n v="410.90000000000003"/>
        <n v="54"/>
        <n v="93.4"/>
        <n v="144.69999999999999"/>
        <n v="818.1"/>
        <n v="289.5"/>
        <n v="132.60000000000002"/>
        <n v="267.5"/>
        <n v="249.6"/>
        <n v="123.5"/>
        <n v="308.5"/>
        <n v="91"/>
        <n v="160.5"/>
        <n v="130.80000000000001"/>
        <n v="1350"/>
        <n v="84.6"/>
        <n v="181"/>
        <n v="63.900000000000006"/>
        <n v="36.299999999999997"/>
        <n v="331.5"/>
        <n v="228.20000000000002"/>
        <n v="626.40000000000009"/>
        <n v="57.300000000000004"/>
        <n v="218.2"/>
        <n v="42.2"/>
        <n v="170.4"/>
        <n v="72.900000000000006"/>
        <n v="43.3"/>
        <n v="123"/>
        <n v="162.30000000000001"/>
        <n v="72.300000000000011"/>
        <n v="261.5"/>
        <n v="275.2"/>
        <n v="257.60000000000002"/>
        <n v="48.3"/>
        <n v="136.5"/>
        <n v="1377"/>
        <n v="122.39999999999999"/>
        <n v="60.8"/>
        <n v="143"/>
        <n v="501.6"/>
        <n v="99.5"/>
        <n v="468.90000000000003"/>
        <n v="1159"/>
        <n v="774"/>
        <n v="515.19999999999993"/>
        <n v="326.2"/>
        <n v="253.79999999999998"/>
        <n v="581"/>
        <n v="326.90000000000003"/>
        <n v="53.7"/>
        <n v="247.8"/>
        <n v="107.69999999999999"/>
        <n v="1599.5"/>
        <n v="1301.3"/>
        <n v="74.2"/>
        <n v="606.4"/>
        <n v="243.2"/>
        <n v="267.40000000000003"/>
        <n v="462.8"/>
        <n v="596.40000000000009"/>
        <n v="38.700000000000003"/>
        <n v="71"/>
        <n v="373.2"/>
        <n v="31.4"/>
        <n v="85.9"/>
        <n v="72.599999999999994"/>
        <n v="100.19999999999999"/>
        <n v="195.60000000000002"/>
        <n v="589.5"/>
        <n v="158.39999999999998"/>
        <n v="153.60000000000002"/>
        <n v="84.9"/>
        <n v="126.89999999999999"/>
        <n v="1306.4000000000001"/>
        <n v="331.09999999999997"/>
        <n v="436.8"/>
        <n v="209.39999999999998"/>
        <n v="174.4"/>
        <n v="878.5"/>
        <n v="498.4"/>
        <n v="279.3"/>
        <n v="299.2"/>
        <n v="52.2"/>
        <n v="193"/>
        <n v="159.6"/>
        <n v="165.89999999999998"/>
        <n v="731.5"/>
        <n v="306.39999999999998"/>
        <n v="191.39999999999998"/>
        <n v="21.4"/>
        <n v="176.4"/>
        <n v="460.8"/>
        <n v="40.6"/>
        <n v="423.6"/>
        <n v="336.59999999999997"/>
        <n v="158"/>
        <n v="57.900000000000006"/>
        <n v="356.5"/>
        <n v="332.4"/>
        <n v="231"/>
        <n v="86.1"/>
        <n v="577"/>
        <n v="706"/>
        <n v="146.69999999999999"/>
        <n v="54.300000000000004"/>
        <n v="237"/>
        <n v="413.7"/>
        <n v="137.6"/>
        <n v="292.5"/>
        <n v="798"/>
        <n v="266.39999999999998"/>
        <n v="257.5"/>
        <n v="190.8"/>
        <n v="368"/>
        <n v="638.4"/>
        <n v="289.60000000000002"/>
        <n v="784"/>
        <n v="348.8"/>
        <n v="378"/>
        <n v="566.1"/>
        <n v="511"/>
        <n v="295.79999999999995"/>
        <n v="338.4"/>
        <n v="344.8"/>
        <n v="154.6"/>
        <n v="189.60000000000002"/>
        <n v="913.1"/>
        <n v="137.39999999999998"/>
        <n v="152.39999999999998"/>
        <n v="103.8"/>
        <n v="186.8"/>
        <n v="143.19999999999999"/>
        <n v="444.4"/>
        <n v="2498.5"/>
        <n v="64.3"/>
        <n v="174.60000000000002"/>
        <n v="236.8"/>
        <n v="296"/>
        <n v="1050.3999999999999"/>
        <n v="154.19999999999999"/>
        <n v="40.4"/>
        <n v="145.19999999999999"/>
        <n v="119.39999999999999"/>
        <n v="128.80000000000001"/>
        <n v="230.39999999999998"/>
        <n v="83.8"/>
        <n v="429.09999999999997"/>
        <n v="54.7"/>
        <n v="847"/>
        <n v="280.20000000000005"/>
        <n v="144"/>
        <n v="135.80000000000001"/>
        <n v="233.09999999999997"/>
        <n v="113.39999999999999"/>
        <n v="537.70000000000005"/>
        <n v="125.2"/>
        <n v="208.5"/>
        <n v="33.4"/>
        <n v="310.8"/>
        <n v="142.4"/>
        <n v="285"/>
        <n v="688.4"/>
        <n v="43.5"/>
        <n v="131.6"/>
        <n v="425.70000000000005"/>
        <n v="7264.5"/>
        <n v="15.5"/>
        <n v="140.80000000000001"/>
        <n v="207.60000000000002"/>
        <n v="21.3"/>
        <n v="273"/>
        <n v="214.9"/>
        <n v="123.2"/>
        <n v="217.2"/>
        <n v="174"/>
        <n v="144.60000000000002"/>
        <n v="13.7"/>
        <n v="221"/>
        <n v="1407"/>
        <n v="270.2"/>
        <n v="2101"/>
        <n v="25.5"/>
        <n v="486"/>
        <n v="80.8"/>
        <n v="299.5"/>
        <n v="165"/>
        <n v="543.9"/>
        <n v="46.6"/>
        <n v="62.099999999999994"/>
        <n v="114.60000000000001"/>
        <n v="1390"/>
        <n v="192.4"/>
        <n v="181.2"/>
        <n v="741.6"/>
        <n v="103.7"/>
        <n v="31.5"/>
        <n v="44.7"/>
        <n v="139.6"/>
        <n v="186.89999999999998"/>
        <n v="99.600000000000009"/>
        <n v="298"/>
        <n v="823.19999999999993"/>
        <n v="509.59999999999997"/>
        <n v="338"/>
        <n v="372.6"/>
        <n v="41.8"/>
        <n v="114.4"/>
        <n v="94.2"/>
        <n v="259.20000000000005"/>
        <n v="525"/>
        <n v="533"/>
        <n v="857.6"/>
        <n v="651"/>
        <n v="194.6"/>
        <n v="49.8"/>
        <n v="163"/>
        <n v="67.3"/>
        <n v="1222.0999999999999"/>
        <n v="59.099999999999994"/>
        <n v="217.6"/>
        <n v="314.10000000000002"/>
        <n v="65.5"/>
        <n v="12.5"/>
        <n v="111.4"/>
        <n v="115.4"/>
        <n v="514.20000000000005"/>
        <n v="260.70000000000005"/>
        <n v="92.8"/>
        <n v="76.199999999999989"/>
        <n v="143.39999999999998"/>
        <n v="349.59999999999997"/>
        <n v="345"/>
        <n v="18.7"/>
        <n v="30.1"/>
        <n v="16.3"/>
        <n v="517.30000000000007"/>
        <n v="324.5"/>
        <n v="265.3"/>
        <n v="56.5"/>
        <n v="259.5"/>
        <n v="20.6"/>
        <n v="149.10000000000002"/>
        <n v="480"/>
        <n v="693"/>
        <n v="502.79999999999995"/>
        <n v="309.2"/>
        <n v="153.80000000000001"/>
        <n v="548.6"/>
        <n v="304.39999999999998"/>
        <n v="1728"/>
        <n v="1630.7"/>
        <n v="107.4"/>
        <n v="171.6"/>
        <n v="752.5"/>
        <n v="426.5"/>
        <n v="404"/>
        <n v="369.29999999999995"/>
        <n v="73.8"/>
        <n v="82"/>
        <n v="200.4"/>
        <n v="35.9"/>
        <n v="360"/>
        <n v="171.89999999999998"/>
        <n v="81.400000000000006"/>
        <n v="73.400000000000006"/>
        <n v="176.39999999999998"/>
        <n v="292.79999999999995"/>
        <n v="117.4"/>
        <n v="359.5"/>
        <n v="860.8"/>
        <n v="160.80000000000001"/>
        <n v="168.6"/>
        <n v="1061.1000000000001"/>
        <n v="240"/>
        <n v="111.89999999999999"/>
        <n v="225.9"/>
        <n v="604.80000000000007"/>
        <n v="165.2"/>
        <n v="30.6"/>
        <n v="54.6"/>
        <n v="340.4"/>
        <n v="228.90000000000003"/>
        <n v="302.10000000000002"/>
        <n v="98.6"/>
        <n v="582"/>
        <n v="134.19999999999999"/>
        <n v="271.59999999999997"/>
        <n v="212.8"/>
        <n v="1057"/>
        <n v="70.400000000000006"/>
        <n v="455.40000000000003"/>
        <n v="236.10000000000002"/>
        <n v="429.8"/>
        <n v="35"/>
        <n v="75.900000000000006"/>
        <n v="126.30000000000001"/>
        <n v="362"/>
        <n v="53.2"/>
        <n v="2464"/>
        <n v="52.4"/>
        <n v="363"/>
        <n v="23.4"/>
        <n v="452.8"/>
        <n v="53.6"/>
        <n v="33.900000000000006"/>
        <n v="180.3"/>
        <n v="304.7"/>
        <n v="133.4"/>
        <n v="195.5"/>
        <n v="99.6"/>
        <n v="146"/>
        <n v="396.2"/>
        <n v="196.70000000000002"/>
        <n v="179.10000000000002"/>
        <n v="71.900000000000006"/>
        <n v="113.8"/>
        <n v="246.8"/>
        <n v="1052"/>
        <n v="252.29999999999998"/>
        <n v="115"/>
        <n v="34.299999999999997"/>
        <n v="55.6"/>
        <n v="190"/>
        <n v="130.4"/>
        <n v="345.9"/>
        <n v="1250.0999999999999"/>
        <n v="252.60000000000002"/>
        <n v="401.8"/>
        <n v="156.89999999999998"/>
        <n v="79.800000000000011"/>
        <n v="383.2"/>
        <n v="303.09999999999997"/>
        <n v="322.40000000000003"/>
        <n v="771.30000000000007"/>
        <n v="832"/>
        <n v="471"/>
        <n v="182.39999999999998"/>
        <n v="134.39999999999998"/>
        <n v="77.599999999999994"/>
        <n v="1216.6000000000001"/>
        <n v="18.3"/>
        <n v="47.5"/>
        <n v="349.2"/>
        <n v="168.5"/>
        <n v="322.20000000000005"/>
        <n v="88.8"/>
        <n v="828"/>
        <n v="355.2"/>
        <n v="78.599999999999994"/>
        <n v="17.399999999999999"/>
        <n v="433.79999999999995"/>
        <n v="267.3"/>
        <n v="2347"/>
        <n v="380.5"/>
        <n v="281.70000000000005"/>
        <n v="748"/>
        <n v="24.4"/>
        <n v="337.6"/>
        <n v="153.19999999999999"/>
        <n v="174.6"/>
        <n v="63"/>
        <n v="152.19999999999999"/>
        <n v="117"/>
        <n v="78.5"/>
        <n v="248.5"/>
        <n v="273.60000000000002"/>
        <n v="145.80000000000001"/>
        <n v="393.90000000000003"/>
        <n v="636.9"/>
        <n v="96.7"/>
        <n v="331.20000000000005"/>
        <n v="7420"/>
        <n v="384"/>
        <n v="276.39999999999998"/>
        <n v="152.80000000000001"/>
        <n v="58"/>
        <n v="818.4"/>
        <n v="27.6"/>
        <n v="99.899999999999991"/>
        <n v="27.4"/>
        <n v="56.8"/>
        <n v="136"/>
        <n v="30.7"/>
        <n v="670.80000000000007"/>
        <n v="24.8"/>
        <n v="78.399999999999991"/>
        <n v="543"/>
        <n v="84.8"/>
        <n v="76.400000000000006"/>
        <n v="1091.7"/>
        <n v="93.8"/>
        <n v="211.79999999999998"/>
        <n v="104.4"/>
        <n v="379.5"/>
        <n v="582.79999999999995"/>
        <n v="157"/>
        <n v="34.200000000000003"/>
        <n v="35.4"/>
        <n v="1282.5"/>
        <n v="824.19999999999993"/>
        <n v="156.6"/>
        <n v="43.9"/>
        <n v="380"/>
        <n v="555.5"/>
        <n v="70.8"/>
        <n v="412"/>
        <n v="636"/>
        <n v="41.3"/>
        <n v="35.299999999999997"/>
        <n v="173.5"/>
        <n v="78.300000000000011"/>
        <n v="308.8"/>
        <n v="25"/>
        <n v="633.59999999999991"/>
        <n v="476.8"/>
        <n v="226.20000000000002"/>
        <n v="2082"/>
        <n v="283.20000000000005"/>
        <n v="29.6"/>
        <n v="250.6"/>
        <n v="33.799999999999997"/>
        <n v="101.69999999999999"/>
        <n v="1099.5"/>
        <n v="140"/>
        <n v="32.4"/>
        <n v="265.20000000000005"/>
        <n v="228.60000000000002"/>
        <n v="80.699999999999989"/>
        <n v="352.79999999999995"/>
        <n v="729.2"/>
        <n v="785"/>
        <n v="170.5"/>
        <n v="52"/>
        <n v="135.79999999999998"/>
        <n v="304.20000000000005"/>
        <n v="23.1"/>
        <n v="1046.7"/>
        <n v="576.9"/>
        <n v="655.20000000000005"/>
        <n v="116"/>
        <n v="487.20000000000005"/>
        <n v="499.80000000000007"/>
        <n v="89"/>
        <n v="25.7"/>
        <n v="208.4"/>
        <n v="31"/>
        <n v="233.2"/>
        <n v="93"/>
        <n v="141.89999999999998"/>
        <n v="18.5"/>
        <n v="120.8"/>
        <n v="401"/>
        <n v="41.5"/>
        <n v="167.8"/>
        <n v="68.400000000000006"/>
        <n v="215.8"/>
        <n v="670.5"/>
        <n v="556.20000000000005"/>
        <n v="146.39999999999998"/>
        <n v="641.29999999999995"/>
        <n v="3509.7999999999997"/>
        <n v="76.900000000000006"/>
        <n v="216.60000000000002"/>
        <n v="240.79999999999998"/>
        <n v="1495.2"/>
        <n v="215.10000000000002"/>
        <n v="241.79999999999998"/>
        <n v="1050"/>
        <n v="163.80000000000001"/>
        <n v="526.4"/>
        <n v="137.4"/>
        <n v="362.59999999999997"/>
        <n v="38.799999999999997"/>
        <n v="156.30000000000001"/>
        <n v="74.900000000000006"/>
        <n v="347.2"/>
        <n v="331.2"/>
        <n v="117.5"/>
        <n v="60.300000000000004"/>
        <n v="768"/>
        <n v="64.7"/>
        <n v="483.2"/>
        <n v="459.90000000000003"/>
        <n v="295.2"/>
        <n v="658.69999999999993"/>
        <n v="36.9"/>
        <n v="381.6"/>
        <n v="314.39999999999998"/>
        <n v="786.5"/>
        <n v="485.6"/>
        <n v="159.5"/>
        <n v="79"/>
        <n v="876.30000000000007"/>
        <n v="148.5"/>
        <n v="263.2"/>
        <n v="313.60000000000002"/>
        <n v="414.4"/>
        <n v="97.199999999999989"/>
        <n v="53.8"/>
        <n v="164.8"/>
        <n v="235.6"/>
        <n v="146.80000000000001"/>
        <n v="140.39999999999998"/>
        <n v="168.4"/>
      </sharedItems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7"/>
    </cacheField>
    <cacheField name="Ship Date" numFmtId="14">
      <sharedItems containsSemiMixedTypes="0" containsNonDate="0" containsDate="1" containsString="0" minDate="2025-01-02T00:00:00" maxDate="2025-04-11T00:00:00"/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5"/>
          <x v="5"/>
          <x v="6"/>
          <x v="5"/>
          <x v="5"/>
          <x v="3"/>
          <x v="6"/>
          <x v="5"/>
          <x v="4"/>
          <x v="5"/>
          <x v="6"/>
          <x v="5"/>
          <x v="6"/>
          <x v="6"/>
          <x v="6"/>
          <x v="6"/>
          <x v="5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e1"/>
          <s v="Groupe2"/>
        </groupItems>
      </fieldGroup>
    </cacheField>
    <cacheField name="Jours (Order Date)" numFmtId="0" databaseField="0">
      <fieldGroup base="5">
        <rangePr groupBy="days" startDate="2025-01-01T00:00:00" endDate="2025-03-30T00:00:00"/>
        <groupItems count="368">
          <s v="&lt;01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0/03/2025"/>
        </groupItems>
      </fieldGroup>
    </cacheField>
    <cacheField name="Mois (Order Date)" numFmtId="0" databaseField="0">
      <fieldGroup base="5">
        <rangePr groupBy="months" startDate="2025-01-01T00:00:00" endDate="2025-03-30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0/03/2025"/>
        </groupItems>
      </fieldGroup>
    </cacheField>
  </cacheFields>
  <extLst>
    <ext xmlns:x14="http://schemas.microsoft.com/office/spreadsheetml/2009/9/main" uri="{725AE2AE-9491-48be-B2B4-4EB974FC3084}">
      <x14:pivotCacheDefinition pivotCacheId="19679127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x v="0"/>
    <x v="0"/>
    <d v="2025-01-06T00:00:00"/>
    <x v="0"/>
    <x v="0"/>
    <x v="0"/>
    <x v="0"/>
    <x v="0"/>
    <x v="0"/>
    <x v="0"/>
    <x v="0"/>
  </r>
  <r>
    <x v="1"/>
    <x v="1"/>
    <x v="1"/>
    <n v="30.6"/>
    <x v="1"/>
    <x v="0"/>
    <d v="2025-01-03T00:00:00"/>
    <x v="1"/>
    <x v="0"/>
    <x v="0"/>
    <x v="0"/>
    <x v="1"/>
    <x v="1"/>
    <x v="0"/>
    <x v="1"/>
  </r>
  <r>
    <x v="2"/>
    <x v="2"/>
    <x v="2"/>
    <n v="109.4"/>
    <x v="2"/>
    <x v="0"/>
    <d v="2025-01-04T00:00:00"/>
    <x v="2"/>
    <x v="0"/>
    <x v="1"/>
    <x v="0"/>
    <x v="2"/>
    <x v="2"/>
    <x v="0"/>
    <x v="2"/>
  </r>
  <r>
    <x v="3"/>
    <x v="3"/>
    <x v="3"/>
    <n v="37.700000000000003"/>
    <x v="3"/>
    <x v="0"/>
    <d v="2025-01-02T00:00:00"/>
    <x v="2"/>
    <x v="0"/>
    <x v="0"/>
    <x v="0"/>
    <x v="2"/>
    <x v="3"/>
    <x v="0"/>
    <x v="2"/>
  </r>
  <r>
    <x v="4"/>
    <x v="4"/>
    <x v="2"/>
    <n v="56.7"/>
    <x v="4"/>
    <x v="0"/>
    <d v="2025-01-04T00:00:00"/>
    <x v="2"/>
    <x v="0"/>
    <x v="2"/>
    <x v="0"/>
    <x v="3"/>
    <x v="2"/>
    <x v="0"/>
    <x v="2"/>
  </r>
  <r>
    <x v="5"/>
    <x v="1"/>
    <x v="4"/>
    <n v="83.5"/>
    <x v="5"/>
    <x v="0"/>
    <d v="2025-01-04T00:00:00"/>
    <x v="1"/>
    <x v="1"/>
    <x v="0"/>
    <x v="0"/>
    <x v="3"/>
    <x v="2"/>
    <x v="0"/>
    <x v="1"/>
  </r>
  <r>
    <x v="6"/>
    <x v="5"/>
    <x v="0"/>
    <n v="55.3"/>
    <x v="6"/>
    <x v="0"/>
    <d v="2025-01-02T00:00:00"/>
    <x v="2"/>
    <x v="0"/>
    <x v="0"/>
    <x v="0"/>
    <x v="3"/>
    <x v="3"/>
    <x v="0"/>
    <x v="2"/>
  </r>
  <r>
    <x v="7"/>
    <x v="6"/>
    <x v="1"/>
    <n v="40.299999999999997"/>
    <x v="7"/>
    <x v="0"/>
    <d v="2025-01-02T00:00:00"/>
    <x v="1"/>
    <x v="2"/>
    <x v="2"/>
    <x v="0"/>
    <x v="3"/>
    <x v="3"/>
    <x v="0"/>
    <x v="1"/>
  </r>
  <r>
    <x v="8"/>
    <x v="7"/>
    <x v="5"/>
    <n v="35.700000000000003"/>
    <x v="8"/>
    <x v="0"/>
    <d v="2025-01-02T00:00:00"/>
    <x v="2"/>
    <x v="0"/>
    <x v="0"/>
    <x v="0"/>
    <x v="3"/>
    <x v="3"/>
    <x v="0"/>
    <x v="2"/>
  </r>
  <r>
    <x v="9"/>
    <x v="8"/>
    <x v="3"/>
    <n v="22.4"/>
    <x v="9"/>
    <x v="0"/>
    <d v="2025-01-04T00:00:00"/>
    <x v="1"/>
    <x v="0"/>
    <x v="1"/>
    <x v="0"/>
    <x v="3"/>
    <x v="2"/>
    <x v="0"/>
    <x v="1"/>
  </r>
  <r>
    <x v="10"/>
    <x v="9"/>
    <x v="1"/>
    <n v="54.4"/>
    <x v="10"/>
    <x v="0"/>
    <d v="2025-01-07T00:00:00"/>
    <x v="2"/>
    <x v="0"/>
    <x v="0"/>
    <x v="0"/>
    <x v="3"/>
    <x v="4"/>
    <x v="0"/>
    <x v="2"/>
  </r>
  <r>
    <x v="11"/>
    <x v="9"/>
    <x v="1"/>
    <n v="49"/>
    <x v="11"/>
    <x v="0"/>
    <d v="2025-01-03T00:00:00"/>
    <x v="2"/>
    <x v="2"/>
    <x v="1"/>
    <x v="0"/>
    <x v="3"/>
    <x v="1"/>
    <x v="0"/>
    <x v="2"/>
  </r>
  <r>
    <x v="12"/>
    <x v="5"/>
    <x v="3"/>
    <n v="118.6"/>
    <x v="12"/>
    <x v="0"/>
    <d v="2025-01-05T00:00:00"/>
    <x v="2"/>
    <x v="1"/>
    <x v="0"/>
    <x v="0"/>
    <x v="4"/>
    <x v="5"/>
    <x v="0"/>
    <x v="2"/>
  </r>
  <r>
    <x v="13"/>
    <x v="6"/>
    <x v="6"/>
    <n v="88.4"/>
    <x v="13"/>
    <x v="0"/>
    <d v="2025-01-08T00:00:00"/>
    <x v="1"/>
    <x v="3"/>
    <x v="0"/>
    <x v="0"/>
    <x v="5"/>
    <x v="6"/>
    <x v="0"/>
    <x v="1"/>
  </r>
  <r>
    <x v="14"/>
    <x v="10"/>
    <x v="0"/>
    <n v="66.7"/>
    <x v="14"/>
    <x v="0"/>
    <d v="2025-01-04T00:00:00"/>
    <x v="1"/>
    <x v="0"/>
    <x v="0"/>
    <x v="0"/>
    <x v="6"/>
    <x v="2"/>
    <x v="0"/>
    <x v="1"/>
  </r>
  <r>
    <x v="15"/>
    <x v="9"/>
    <x v="7"/>
    <n v="30.9"/>
    <x v="15"/>
    <x v="0"/>
    <d v="2025-01-02T00:00:00"/>
    <x v="1"/>
    <x v="1"/>
    <x v="2"/>
    <x v="0"/>
    <x v="6"/>
    <x v="3"/>
    <x v="0"/>
    <x v="1"/>
  </r>
  <r>
    <x v="16"/>
    <x v="4"/>
    <x v="2"/>
    <n v="31.1"/>
    <x v="16"/>
    <x v="0"/>
    <d v="2025-01-02T00:00:00"/>
    <x v="2"/>
    <x v="0"/>
    <x v="1"/>
    <x v="0"/>
    <x v="6"/>
    <x v="3"/>
    <x v="0"/>
    <x v="2"/>
  </r>
  <r>
    <x v="17"/>
    <x v="7"/>
    <x v="2"/>
    <n v="36.6"/>
    <x v="17"/>
    <x v="0"/>
    <d v="2025-01-04T00:00:00"/>
    <x v="2"/>
    <x v="0"/>
    <x v="0"/>
    <x v="0"/>
    <x v="7"/>
    <x v="2"/>
    <x v="0"/>
    <x v="2"/>
  </r>
  <r>
    <x v="18"/>
    <x v="6"/>
    <x v="8"/>
    <n v="51.1"/>
    <x v="18"/>
    <x v="0"/>
    <d v="2025-01-04T00:00:00"/>
    <x v="2"/>
    <x v="2"/>
    <x v="3"/>
    <x v="0"/>
    <x v="7"/>
    <x v="2"/>
    <x v="0"/>
    <x v="2"/>
  </r>
  <r>
    <x v="19"/>
    <x v="9"/>
    <x v="0"/>
    <n v="25.2"/>
    <x v="19"/>
    <x v="0"/>
    <d v="2025-01-02T00:00:00"/>
    <x v="2"/>
    <x v="1"/>
    <x v="2"/>
    <x v="0"/>
    <x v="8"/>
    <x v="3"/>
    <x v="0"/>
    <x v="2"/>
  </r>
  <r>
    <x v="20"/>
    <x v="9"/>
    <x v="9"/>
    <n v="43.8"/>
    <x v="20"/>
    <x v="0"/>
    <d v="2025-01-04T00:00:00"/>
    <x v="2"/>
    <x v="2"/>
    <x v="0"/>
    <x v="0"/>
    <x v="8"/>
    <x v="2"/>
    <x v="0"/>
    <x v="2"/>
  </r>
  <r>
    <x v="21"/>
    <x v="8"/>
    <x v="4"/>
    <n v="46.7"/>
    <x v="21"/>
    <x v="0"/>
    <d v="2025-01-02T00:00:00"/>
    <x v="2"/>
    <x v="1"/>
    <x v="1"/>
    <x v="0"/>
    <x v="8"/>
    <x v="3"/>
    <x v="0"/>
    <x v="2"/>
  </r>
  <r>
    <x v="22"/>
    <x v="3"/>
    <x v="10"/>
    <n v="79.900000000000006"/>
    <x v="22"/>
    <x v="0"/>
    <d v="2025-01-02T00:00:00"/>
    <x v="1"/>
    <x v="0"/>
    <x v="2"/>
    <x v="0"/>
    <x v="8"/>
    <x v="3"/>
    <x v="0"/>
    <x v="1"/>
  </r>
  <r>
    <x v="23"/>
    <x v="11"/>
    <x v="8"/>
    <n v="26.4"/>
    <x v="23"/>
    <x v="0"/>
    <d v="2025-01-02T00:00:00"/>
    <x v="2"/>
    <x v="3"/>
    <x v="0"/>
    <x v="0"/>
    <x v="8"/>
    <x v="3"/>
    <x v="0"/>
    <x v="2"/>
  </r>
  <r>
    <x v="24"/>
    <x v="12"/>
    <x v="8"/>
    <n v="88.8"/>
    <x v="24"/>
    <x v="0"/>
    <d v="2025-01-02T00:00:00"/>
    <x v="2"/>
    <x v="4"/>
    <x v="0"/>
    <x v="0"/>
    <x v="8"/>
    <x v="3"/>
    <x v="0"/>
    <x v="2"/>
  </r>
  <r>
    <x v="25"/>
    <x v="0"/>
    <x v="7"/>
    <n v="17.5"/>
    <x v="25"/>
    <x v="0"/>
    <d v="2025-01-02T00:00:00"/>
    <x v="2"/>
    <x v="2"/>
    <x v="0"/>
    <x v="0"/>
    <x v="9"/>
    <x v="3"/>
    <x v="0"/>
    <x v="2"/>
  </r>
  <r>
    <x v="26"/>
    <x v="1"/>
    <x v="11"/>
    <n v="38.700000000000003"/>
    <x v="26"/>
    <x v="0"/>
    <d v="2025-01-04T00:00:00"/>
    <x v="1"/>
    <x v="1"/>
    <x v="0"/>
    <x v="0"/>
    <x v="10"/>
    <x v="2"/>
    <x v="0"/>
    <x v="1"/>
  </r>
  <r>
    <x v="27"/>
    <x v="13"/>
    <x v="12"/>
    <n v="57.2"/>
    <x v="27"/>
    <x v="0"/>
    <d v="2025-01-03T00:00:00"/>
    <x v="0"/>
    <x v="1"/>
    <x v="2"/>
    <x v="0"/>
    <x v="11"/>
    <x v="1"/>
    <x v="0"/>
    <x v="0"/>
  </r>
  <r>
    <x v="28"/>
    <x v="6"/>
    <x v="9"/>
    <n v="50.9"/>
    <x v="28"/>
    <x v="0"/>
    <d v="2025-01-07T00:00:00"/>
    <x v="0"/>
    <x v="1"/>
    <x v="2"/>
    <x v="0"/>
    <x v="12"/>
    <x v="4"/>
    <x v="0"/>
    <x v="0"/>
  </r>
  <r>
    <x v="29"/>
    <x v="14"/>
    <x v="3"/>
    <n v="41"/>
    <x v="29"/>
    <x v="0"/>
    <d v="2025-01-05T00:00:00"/>
    <x v="2"/>
    <x v="1"/>
    <x v="0"/>
    <x v="0"/>
    <x v="13"/>
    <x v="5"/>
    <x v="0"/>
    <x v="2"/>
  </r>
  <r>
    <x v="30"/>
    <x v="8"/>
    <x v="3"/>
    <n v="19.100000000000001"/>
    <x v="30"/>
    <x v="0"/>
    <d v="2025-01-05T00:00:00"/>
    <x v="1"/>
    <x v="0"/>
    <x v="2"/>
    <x v="0"/>
    <x v="14"/>
    <x v="5"/>
    <x v="0"/>
    <x v="1"/>
  </r>
  <r>
    <x v="31"/>
    <x v="2"/>
    <x v="9"/>
    <n v="166.1"/>
    <x v="31"/>
    <x v="0"/>
    <d v="2025-01-04T00:00:00"/>
    <x v="1"/>
    <x v="0"/>
    <x v="0"/>
    <x v="0"/>
    <x v="15"/>
    <x v="2"/>
    <x v="0"/>
    <x v="1"/>
  </r>
  <r>
    <x v="32"/>
    <x v="4"/>
    <x v="2"/>
    <n v="29.9"/>
    <x v="32"/>
    <x v="0"/>
    <d v="2025-01-02T00:00:00"/>
    <x v="1"/>
    <x v="3"/>
    <x v="0"/>
    <x v="0"/>
    <x v="3"/>
    <x v="3"/>
    <x v="0"/>
    <x v="1"/>
  </r>
  <r>
    <x v="33"/>
    <x v="10"/>
    <x v="13"/>
    <n v="21.7"/>
    <x v="33"/>
    <x v="0"/>
    <d v="2025-01-03T00:00:00"/>
    <x v="3"/>
    <x v="2"/>
    <x v="2"/>
    <x v="0"/>
    <x v="3"/>
    <x v="1"/>
    <x v="0"/>
    <x v="3"/>
  </r>
  <r>
    <x v="34"/>
    <x v="11"/>
    <x v="1"/>
    <n v="32"/>
    <x v="34"/>
    <x v="0"/>
    <d v="2025-01-04T00:00:00"/>
    <x v="1"/>
    <x v="0"/>
    <x v="2"/>
    <x v="0"/>
    <x v="3"/>
    <x v="2"/>
    <x v="0"/>
    <x v="1"/>
  </r>
  <r>
    <x v="35"/>
    <x v="8"/>
    <x v="1"/>
    <n v="15.8"/>
    <x v="35"/>
    <x v="0"/>
    <d v="2025-01-02T00:00:00"/>
    <x v="1"/>
    <x v="4"/>
    <x v="2"/>
    <x v="0"/>
    <x v="3"/>
    <x v="3"/>
    <x v="0"/>
    <x v="1"/>
  </r>
  <r>
    <x v="36"/>
    <x v="2"/>
    <x v="14"/>
    <n v="203.1"/>
    <x v="36"/>
    <x v="0"/>
    <d v="2025-01-05T00:00:00"/>
    <x v="1"/>
    <x v="3"/>
    <x v="1"/>
    <x v="0"/>
    <x v="3"/>
    <x v="5"/>
    <x v="0"/>
    <x v="1"/>
  </r>
  <r>
    <x v="37"/>
    <x v="7"/>
    <x v="15"/>
    <n v="39"/>
    <x v="37"/>
    <x v="0"/>
    <d v="2025-01-07T00:00:00"/>
    <x v="1"/>
    <x v="0"/>
    <x v="2"/>
    <x v="0"/>
    <x v="3"/>
    <x v="4"/>
    <x v="0"/>
    <x v="1"/>
  </r>
  <r>
    <x v="38"/>
    <x v="10"/>
    <x v="0"/>
    <n v="26.5"/>
    <x v="38"/>
    <x v="1"/>
    <d v="2025-01-03T00:00:00"/>
    <x v="1"/>
    <x v="2"/>
    <x v="0"/>
    <x v="0"/>
    <x v="3"/>
    <x v="3"/>
    <x v="0"/>
    <x v="1"/>
  </r>
  <r>
    <x v="39"/>
    <x v="5"/>
    <x v="0"/>
    <n v="43.1"/>
    <x v="39"/>
    <x v="1"/>
    <d v="2025-01-03T00:00:00"/>
    <x v="2"/>
    <x v="2"/>
    <x v="1"/>
    <x v="0"/>
    <x v="3"/>
    <x v="3"/>
    <x v="0"/>
    <x v="2"/>
  </r>
  <r>
    <x v="40"/>
    <x v="1"/>
    <x v="2"/>
    <n v="139"/>
    <x v="40"/>
    <x v="1"/>
    <d v="2025-01-03T00:00:00"/>
    <x v="2"/>
    <x v="4"/>
    <x v="2"/>
    <x v="0"/>
    <x v="3"/>
    <x v="3"/>
    <x v="0"/>
    <x v="2"/>
  </r>
  <r>
    <x v="41"/>
    <x v="12"/>
    <x v="0"/>
    <n v="80.7"/>
    <x v="41"/>
    <x v="1"/>
    <d v="2025-01-03T00:00:00"/>
    <x v="1"/>
    <x v="0"/>
    <x v="2"/>
    <x v="0"/>
    <x v="16"/>
    <x v="3"/>
    <x v="0"/>
    <x v="1"/>
  </r>
  <r>
    <x v="42"/>
    <x v="4"/>
    <x v="1"/>
    <n v="54.5"/>
    <x v="42"/>
    <x v="1"/>
    <d v="2025-01-04T00:00:00"/>
    <x v="1"/>
    <x v="1"/>
    <x v="1"/>
    <x v="0"/>
    <x v="6"/>
    <x v="1"/>
    <x v="0"/>
    <x v="1"/>
  </r>
  <r>
    <x v="43"/>
    <x v="6"/>
    <x v="2"/>
    <n v="68.599999999999994"/>
    <x v="43"/>
    <x v="1"/>
    <d v="2025-01-02T00:00:00"/>
    <x v="2"/>
    <x v="0"/>
    <x v="1"/>
    <x v="0"/>
    <x v="8"/>
    <x v="7"/>
    <x v="0"/>
    <x v="2"/>
  </r>
  <r>
    <x v="44"/>
    <x v="2"/>
    <x v="12"/>
    <n v="135.9"/>
    <x v="44"/>
    <x v="1"/>
    <d v="2025-01-03T00:00:00"/>
    <x v="2"/>
    <x v="2"/>
    <x v="2"/>
    <x v="0"/>
    <x v="8"/>
    <x v="3"/>
    <x v="0"/>
    <x v="2"/>
  </r>
  <r>
    <x v="45"/>
    <x v="2"/>
    <x v="12"/>
    <n v="70.900000000000006"/>
    <x v="45"/>
    <x v="1"/>
    <d v="2025-01-03T00:00:00"/>
    <x v="2"/>
    <x v="0"/>
    <x v="0"/>
    <x v="0"/>
    <x v="17"/>
    <x v="3"/>
    <x v="0"/>
    <x v="2"/>
  </r>
  <r>
    <x v="46"/>
    <x v="1"/>
    <x v="9"/>
    <n v="63.7"/>
    <x v="46"/>
    <x v="1"/>
    <d v="2025-01-03T00:00:00"/>
    <x v="1"/>
    <x v="1"/>
    <x v="1"/>
    <x v="0"/>
    <x v="9"/>
    <x v="3"/>
    <x v="0"/>
    <x v="1"/>
  </r>
  <r>
    <x v="47"/>
    <x v="13"/>
    <x v="0"/>
    <n v="29.7"/>
    <x v="47"/>
    <x v="1"/>
    <d v="2025-01-04T00:00:00"/>
    <x v="2"/>
    <x v="1"/>
    <x v="0"/>
    <x v="0"/>
    <x v="11"/>
    <x v="1"/>
    <x v="0"/>
    <x v="2"/>
  </r>
  <r>
    <x v="48"/>
    <x v="4"/>
    <x v="2"/>
    <n v="26.8"/>
    <x v="48"/>
    <x v="1"/>
    <d v="2025-01-11T00:00:00"/>
    <x v="2"/>
    <x v="1"/>
    <x v="2"/>
    <x v="0"/>
    <x v="11"/>
    <x v="8"/>
    <x v="0"/>
    <x v="2"/>
  </r>
  <r>
    <x v="49"/>
    <x v="14"/>
    <x v="0"/>
    <n v="27"/>
    <x v="49"/>
    <x v="1"/>
    <d v="2025-01-04T00:00:00"/>
    <x v="2"/>
    <x v="0"/>
    <x v="0"/>
    <x v="0"/>
    <x v="18"/>
    <x v="1"/>
    <x v="0"/>
    <x v="2"/>
  </r>
  <r>
    <x v="50"/>
    <x v="8"/>
    <x v="0"/>
    <n v="41.4"/>
    <x v="50"/>
    <x v="1"/>
    <d v="2025-01-03T00:00:00"/>
    <x v="1"/>
    <x v="1"/>
    <x v="2"/>
    <x v="0"/>
    <x v="19"/>
    <x v="3"/>
    <x v="0"/>
    <x v="1"/>
  </r>
  <r>
    <x v="51"/>
    <x v="8"/>
    <x v="1"/>
    <n v="24.3"/>
    <x v="51"/>
    <x v="1"/>
    <d v="2025-01-05T00:00:00"/>
    <x v="2"/>
    <x v="1"/>
    <x v="0"/>
    <x v="0"/>
    <x v="19"/>
    <x v="2"/>
    <x v="0"/>
    <x v="2"/>
  </r>
  <r>
    <x v="52"/>
    <x v="8"/>
    <x v="2"/>
    <n v="41.7"/>
    <x v="52"/>
    <x v="1"/>
    <d v="2025-01-04T00:00:00"/>
    <x v="1"/>
    <x v="0"/>
    <x v="2"/>
    <x v="0"/>
    <x v="20"/>
    <x v="1"/>
    <x v="0"/>
    <x v="1"/>
  </r>
  <r>
    <x v="53"/>
    <x v="0"/>
    <x v="1"/>
    <n v="18"/>
    <x v="53"/>
    <x v="1"/>
    <d v="2025-01-03T00:00:00"/>
    <x v="2"/>
    <x v="0"/>
    <x v="2"/>
    <x v="0"/>
    <x v="21"/>
    <x v="3"/>
    <x v="0"/>
    <x v="2"/>
  </r>
  <r>
    <x v="54"/>
    <x v="7"/>
    <x v="2"/>
    <n v="91.3"/>
    <x v="54"/>
    <x v="1"/>
    <d v="2025-01-05T00:00:00"/>
    <x v="1"/>
    <x v="2"/>
    <x v="2"/>
    <x v="0"/>
    <x v="3"/>
    <x v="2"/>
    <x v="0"/>
    <x v="1"/>
  </r>
  <r>
    <x v="55"/>
    <x v="8"/>
    <x v="8"/>
    <n v="19.3"/>
    <x v="55"/>
    <x v="1"/>
    <d v="2025-01-03T00:00:00"/>
    <x v="1"/>
    <x v="0"/>
    <x v="0"/>
    <x v="0"/>
    <x v="3"/>
    <x v="3"/>
    <x v="0"/>
    <x v="1"/>
  </r>
  <r>
    <x v="56"/>
    <x v="12"/>
    <x v="15"/>
    <n v="63.2"/>
    <x v="56"/>
    <x v="1"/>
    <d v="2025-01-03T00:00:00"/>
    <x v="2"/>
    <x v="0"/>
    <x v="0"/>
    <x v="0"/>
    <x v="3"/>
    <x v="3"/>
    <x v="0"/>
    <x v="2"/>
  </r>
  <r>
    <x v="57"/>
    <x v="10"/>
    <x v="11"/>
    <n v="33.299999999999997"/>
    <x v="57"/>
    <x v="2"/>
    <d v="2025-01-11T00:00:00"/>
    <x v="2"/>
    <x v="0"/>
    <x v="2"/>
    <x v="0"/>
    <x v="3"/>
    <x v="9"/>
    <x v="0"/>
    <x v="2"/>
  </r>
  <r>
    <x v="58"/>
    <x v="7"/>
    <x v="1"/>
    <n v="64.2"/>
    <x v="58"/>
    <x v="2"/>
    <d v="2025-01-04T00:00:00"/>
    <x v="1"/>
    <x v="0"/>
    <x v="2"/>
    <x v="0"/>
    <x v="3"/>
    <x v="3"/>
    <x v="0"/>
    <x v="1"/>
  </r>
  <r>
    <x v="59"/>
    <x v="9"/>
    <x v="2"/>
    <n v="23.1"/>
    <x v="59"/>
    <x v="2"/>
    <d v="2025-01-06T00:00:00"/>
    <x v="2"/>
    <x v="1"/>
    <x v="2"/>
    <x v="0"/>
    <x v="3"/>
    <x v="2"/>
    <x v="0"/>
    <x v="2"/>
  </r>
  <r>
    <x v="60"/>
    <x v="15"/>
    <x v="1"/>
    <n v="71.099999999999994"/>
    <x v="60"/>
    <x v="2"/>
    <d v="2025-01-05T00:00:00"/>
    <x v="2"/>
    <x v="3"/>
    <x v="1"/>
    <x v="0"/>
    <x v="3"/>
    <x v="1"/>
    <x v="0"/>
    <x v="2"/>
  </r>
  <r>
    <x v="61"/>
    <x v="0"/>
    <x v="1"/>
    <n v="11.5"/>
    <x v="61"/>
    <x v="2"/>
    <d v="2025-01-04T00:00:00"/>
    <x v="2"/>
    <x v="0"/>
    <x v="0"/>
    <x v="0"/>
    <x v="3"/>
    <x v="3"/>
    <x v="0"/>
    <x v="2"/>
  </r>
  <r>
    <x v="62"/>
    <x v="15"/>
    <x v="10"/>
    <n v="69.2"/>
    <x v="62"/>
    <x v="2"/>
    <d v="2025-01-08T00:00:00"/>
    <x v="2"/>
    <x v="0"/>
    <x v="0"/>
    <x v="0"/>
    <x v="3"/>
    <x v="0"/>
    <x v="0"/>
    <x v="2"/>
  </r>
  <r>
    <x v="63"/>
    <x v="0"/>
    <x v="0"/>
    <n v="26.8"/>
    <x v="63"/>
    <x v="2"/>
    <d v="2025-01-04T00:00:00"/>
    <x v="1"/>
    <x v="2"/>
    <x v="4"/>
    <x v="0"/>
    <x v="3"/>
    <x v="3"/>
    <x v="0"/>
    <x v="1"/>
  </r>
  <r>
    <x v="64"/>
    <x v="16"/>
    <x v="2"/>
    <n v="31.2"/>
    <x v="64"/>
    <x v="2"/>
    <d v="2025-01-06T00:00:00"/>
    <x v="2"/>
    <x v="0"/>
    <x v="0"/>
    <x v="0"/>
    <x v="3"/>
    <x v="2"/>
    <x v="0"/>
    <x v="2"/>
  </r>
  <r>
    <x v="65"/>
    <x v="12"/>
    <x v="1"/>
    <n v="113.2"/>
    <x v="65"/>
    <x v="2"/>
    <d v="2025-01-04T00:00:00"/>
    <x v="2"/>
    <x v="4"/>
    <x v="0"/>
    <x v="0"/>
    <x v="3"/>
    <x v="3"/>
    <x v="0"/>
    <x v="2"/>
  </r>
  <r>
    <x v="66"/>
    <x v="10"/>
    <x v="8"/>
    <n v="21"/>
    <x v="66"/>
    <x v="2"/>
    <d v="2025-01-04T00:00:00"/>
    <x v="1"/>
    <x v="0"/>
    <x v="0"/>
    <x v="0"/>
    <x v="6"/>
    <x v="3"/>
    <x v="0"/>
    <x v="1"/>
  </r>
  <r>
    <x v="67"/>
    <x v="1"/>
    <x v="1"/>
    <n v="89.1"/>
    <x v="67"/>
    <x v="2"/>
    <d v="2025-01-04T00:00:00"/>
    <x v="2"/>
    <x v="2"/>
    <x v="2"/>
    <x v="0"/>
    <x v="6"/>
    <x v="3"/>
    <x v="0"/>
    <x v="2"/>
  </r>
  <r>
    <x v="68"/>
    <x v="1"/>
    <x v="0"/>
    <n v="97.7"/>
    <x v="68"/>
    <x v="2"/>
    <d v="2025-01-05T00:00:00"/>
    <x v="2"/>
    <x v="0"/>
    <x v="1"/>
    <x v="0"/>
    <x v="6"/>
    <x v="1"/>
    <x v="0"/>
    <x v="2"/>
  </r>
  <r>
    <x v="69"/>
    <x v="15"/>
    <x v="12"/>
    <n v="97.7"/>
    <x v="69"/>
    <x v="2"/>
    <d v="2025-01-05T00:00:00"/>
    <x v="1"/>
    <x v="3"/>
    <x v="0"/>
    <x v="0"/>
    <x v="6"/>
    <x v="1"/>
    <x v="0"/>
    <x v="1"/>
  </r>
  <r>
    <x v="70"/>
    <x v="17"/>
    <x v="2"/>
    <n v="47.4"/>
    <x v="60"/>
    <x v="2"/>
    <d v="2025-01-06T00:00:00"/>
    <x v="1"/>
    <x v="3"/>
    <x v="2"/>
    <x v="0"/>
    <x v="8"/>
    <x v="2"/>
    <x v="0"/>
    <x v="1"/>
  </r>
  <r>
    <x v="71"/>
    <x v="7"/>
    <x v="0"/>
    <n v="89.6"/>
    <x v="70"/>
    <x v="2"/>
    <d v="2025-01-06T00:00:00"/>
    <x v="2"/>
    <x v="0"/>
    <x v="2"/>
    <x v="0"/>
    <x v="8"/>
    <x v="2"/>
    <x v="0"/>
    <x v="2"/>
  </r>
  <r>
    <x v="72"/>
    <x v="10"/>
    <x v="16"/>
    <n v="28.4"/>
    <x v="71"/>
    <x v="2"/>
    <d v="2025-01-06T00:00:00"/>
    <x v="2"/>
    <x v="3"/>
    <x v="2"/>
    <x v="0"/>
    <x v="17"/>
    <x v="2"/>
    <x v="0"/>
    <x v="2"/>
  </r>
  <r>
    <x v="73"/>
    <x v="0"/>
    <x v="1"/>
    <n v="17.899999999999999"/>
    <x v="72"/>
    <x v="2"/>
    <d v="2025-01-04T00:00:00"/>
    <x v="2"/>
    <x v="0"/>
    <x v="2"/>
    <x v="0"/>
    <x v="9"/>
    <x v="3"/>
    <x v="0"/>
    <x v="2"/>
  </r>
  <r>
    <x v="74"/>
    <x v="9"/>
    <x v="1"/>
    <n v="48.4"/>
    <x v="73"/>
    <x v="2"/>
    <d v="2025-01-06T00:00:00"/>
    <x v="1"/>
    <x v="1"/>
    <x v="0"/>
    <x v="0"/>
    <x v="9"/>
    <x v="2"/>
    <x v="0"/>
    <x v="1"/>
  </r>
  <r>
    <x v="75"/>
    <x v="12"/>
    <x v="12"/>
    <n v="44.4"/>
    <x v="74"/>
    <x v="2"/>
    <d v="2025-01-04T00:00:00"/>
    <x v="3"/>
    <x v="1"/>
    <x v="1"/>
    <x v="0"/>
    <x v="11"/>
    <x v="3"/>
    <x v="0"/>
    <x v="3"/>
  </r>
  <r>
    <x v="76"/>
    <x v="2"/>
    <x v="8"/>
    <n v="103.7"/>
    <x v="75"/>
    <x v="2"/>
    <d v="2025-01-04T00:00:00"/>
    <x v="2"/>
    <x v="0"/>
    <x v="1"/>
    <x v="0"/>
    <x v="19"/>
    <x v="3"/>
    <x v="0"/>
    <x v="2"/>
  </r>
  <r>
    <x v="77"/>
    <x v="5"/>
    <x v="12"/>
    <n v="58.6"/>
    <x v="76"/>
    <x v="2"/>
    <d v="2025-01-05T00:00:00"/>
    <x v="1"/>
    <x v="3"/>
    <x v="0"/>
    <x v="0"/>
    <x v="19"/>
    <x v="1"/>
    <x v="0"/>
    <x v="1"/>
  </r>
  <r>
    <x v="78"/>
    <x v="9"/>
    <x v="12"/>
    <n v="54.8"/>
    <x v="77"/>
    <x v="2"/>
    <d v="2025-01-07T00:00:00"/>
    <x v="2"/>
    <x v="2"/>
    <x v="1"/>
    <x v="0"/>
    <x v="13"/>
    <x v="5"/>
    <x v="0"/>
    <x v="2"/>
  </r>
  <r>
    <x v="79"/>
    <x v="12"/>
    <x v="2"/>
    <n v="78.8"/>
    <x v="78"/>
    <x v="2"/>
    <d v="2025-01-09T00:00:00"/>
    <x v="2"/>
    <x v="4"/>
    <x v="1"/>
    <x v="0"/>
    <x v="21"/>
    <x v="4"/>
    <x v="0"/>
    <x v="2"/>
  </r>
  <r>
    <x v="80"/>
    <x v="18"/>
    <x v="9"/>
    <n v="36.799999999999997"/>
    <x v="79"/>
    <x v="2"/>
    <d v="2025-01-06T00:00:00"/>
    <x v="1"/>
    <x v="4"/>
    <x v="1"/>
    <x v="0"/>
    <x v="22"/>
    <x v="2"/>
    <x v="0"/>
    <x v="1"/>
  </r>
  <r>
    <x v="81"/>
    <x v="6"/>
    <x v="13"/>
    <n v="50.6"/>
    <x v="80"/>
    <x v="2"/>
    <d v="2025-01-05T00:00:00"/>
    <x v="2"/>
    <x v="3"/>
    <x v="0"/>
    <x v="0"/>
    <x v="3"/>
    <x v="1"/>
    <x v="0"/>
    <x v="2"/>
  </r>
  <r>
    <x v="82"/>
    <x v="15"/>
    <x v="2"/>
    <n v="36.799999999999997"/>
    <x v="81"/>
    <x v="2"/>
    <d v="2025-01-03T00:00:00"/>
    <x v="1"/>
    <x v="2"/>
    <x v="1"/>
    <x v="0"/>
    <x v="3"/>
    <x v="7"/>
    <x v="0"/>
    <x v="1"/>
  </r>
  <r>
    <x v="83"/>
    <x v="8"/>
    <x v="11"/>
    <n v="41.8"/>
    <x v="82"/>
    <x v="3"/>
    <d v="2025-01-10T00:00:00"/>
    <x v="2"/>
    <x v="3"/>
    <x v="0"/>
    <x v="0"/>
    <x v="3"/>
    <x v="4"/>
    <x v="0"/>
    <x v="2"/>
  </r>
  <r>
    <x v="84"/>
    <x v="18"/>
    <x v="0"/>
    <n v="77.3"/>
    <x v="83"/>
    <x v="3"/>
    <d v="2025-01-05T00:00:00"/>
    <x v="1"/>
    <x v="4"/>
    <x v="4"/>
    <x v="0"/>
    <x v="3"/>
    <x v="3"/>
    <x v="0"/>
    <x v="1"/>
  </r>
  <r>
    <x v="85"/>
    <x v="8"/>
    <x v="12"/>
    <n v="19.8"/>
    <x v="84"/>
    <x v="3"/>
    <d v="2025-01-10T00:00:00"/>
    <x v="1"/>
    <x v="1"/>
    <x v="2"/>
    <x v="0"/>
    <x v="3"/>
    <x v="4"/>
    <x v="0"/>
    <x v="1"/>
  </r>
  <r>
    <x v="86"/>
    <x v="13"/>
    <x v="12"/>
    <n v="15.5"/>
    <x v="85"/>
    <x v="3"/>
    <d v="2025-01-05T00:00:00"/>
    <x v="2"/>
    <x v="1"/>
    <x v="2"/>
    <x v="0"/>
    <x v="3"/>
    <x v="3"/>
    <x v="0"/>
    <x v="2"/>
  </r>
  <r>
    <x v="87"/>
    <x v="12"/>
    <x v="0"/>
    <n v="46.8"/>
    <x v="86"/>
    <x v="3"/>
    <d v="2025-01-08T00:00:00"/>
    <x v="1"/>
    <x v="0"/>
    <x v="2"/>
    <x v="0"/>
    <x v="3"/>
    <x v="5"/>
    <x v="0"/>
    <x v="1"/>
  </r>
  <r>
    <x v="88"/>
    <x v="9"/>
    <x v="11"/>
    <n v="28.6"/>
    <x v="87"/>
    <x v="3"/>
    <d v="2025-01-08T00:00:00"/>
    <x v="1"/>
    <x v="0"/>
    <x v="2"/>
    <x v="0"/>
    <x v="3"/>
    <x v="5"/>
    <x v="0"/>
    <x v="1"/>
  </r>
  <r>
    <x v="89"/>
    <x v="2"/>
    <x v="0"/>
    <n v="97.7"/>
    <x v="68"/>
    <x v="3"/>
    <d v="2025-01-07T00:00:00"/>
    <x v="2"/>
    <x v="1"/>
    <x v="0"/>
    <x v="0"/>
    <x v="3"/>
    <x v="2"/>
    <x v="0"/>
    <x v="2"/>
  </r>
  <r>
    <x v="90"/>
    <x v="9"/>
    <x v="9"/>
    <n v="54.7"/>
    <x v="88"/>
    <x v="3"/>
    <d v="2025-01-07T00:00:00"/>
    <x v="0"/>
    <x v="0"/>
    <x v="2"/>
    <x v="0"/>
    <x v="23"/>
    <x v="2"/>
    <x v="0"/>
    <x v="0"/>
  </r>
  <r>
    <x v="91"/>
    <x v="2"/>
    <x v="13"/>
    <n v="130.5"/>
    <x v="89"/>
    <x v="3"/>
    <d v="2025-01-06T00:00:00"/>
    <x v="2"/>
    <x v="0"/>
    <x v="1"/>
    <x v="0"/>
    <x v="23"/>
    <x v="1"/>
    <x v="0"/>
    <x v="2"/>
  </r>
  <r>
    <x v="92"/>
    <x v="11"/>
    <x v="1"/>
    <n v="50.4"/>
    <x v="90"/>
    <x v="3"/>
    <d v="2025-01-06T00:00:00"/>
    <x v="1"/>
    <x v="2"/>
    <x v="2"/>
    <x v="0"/>
    <x v="6"/>
    <x v="1"/>
    <x v="0"/>
    <x v="1"/>
  </r>
  <r>
    <x v="93"/>
    <x v="6"/>
    <x v="15"/>
    <n v="61.5"/>
    <x v="91"/>
    <x v="3"/>
    <d v="2025-01-05T00:00:00"/>
    <x v="0"/>
    <x v="3"/>
    <x v="1"/>
    <x v="0"/>
    <x v="11"/>
    <x v="3"/>
    <x v="0"/>
    <x v="0"/>
  </r>
  <r>
    <x v="94"/>
    <x v="9"/>
    <x v="12"/>
    <n v="30.1"/>
    <x v="92"/>
    <x v="3"/>
    <d v="2025-01-05T00:00:00"/>
    <x v="2"/>
    <x v="0"/>
    <x v="2"/>
    <x v="0"/>
    <x v="21"/>
    <x v="3"/>
    <x v="0"/>
    <x v="2"/>
  </r>
  <r>
    <x v="95"/>
    <x v="2"/>
    <x v="9"/>
    <n v="74.8"/>
    <x v="93"/>
    <x v="3"/>
    <d v="2025-01-05T00:00:00"/>
    <x v="2"/>
    <x v="1"/>
    <x v="0"/>
    <x v="0"/>
    <x v="1"/>
    <x v="3"/>
    <x v="0"/>
    <x v="2"/>
  </r>
  <r>
    <x v="96"/>
    <x v="16"/>
    <x v="2"/>
    <n v="64.900000000000006"/>
    <x v="94"/>
    <x v="3"/>
    <d v="2025-01-11T00:00:00"/>
    <x v="1"/>
    <x v="0"/>
    <x v="0"/>
    <x v="0"/>
    <x v="2"/>
    <x v="6"/>
    <x v="0"/>
    <x v="1"/>
  </r>
  <r>
    <x v="97"/>
    <x v="9"/>
    <x v="1"/>
    <n v="50.5"/>
    <x v="95"/>
    <x v="3"/>
    <d v="2025-01-06T00:00:00"/>
    <x v="1"/>
    <x v="1"/>
    <x v="0"/>
    <x v="0"/>
    <x v="22"/>
    <x v="1"/>
    <x v="0"/>
    <x v="1"/>
  </r>
  <r>
    <x v="98"/>
    <x v="11"/>
    <x v="3"/>
    <n v="63"/>
    <x v="96"/>
    <x v="3"/>
    <d v="2025-01-07T00:00:00"/>
    <x v="1"/>
    <x v="3"/>
    <x v="2"/>
    <x v="0"/>
    <x v="3"/>
    <x v="2"/>
    <x v="0"/>
    <x v="1"/>
  </r>
  <r>
    <x v="99"/>
    <x v="2"/>
    <x v="2"/>
    <n v="93.6"/>
    <x v="97"/>
    <x v="3"/>
    <d v="2025-01-17T00:00:00"/>
    <x v="2"/>
    <x v="0"/>
    <x v="2"/>
    <x v="0"/>
    <x v="3"/>
    <x v="10"/>
    <x v="0"/>
    <x v="2"/>
  </r>
  <r>
    <x v="100"/>
    <x v="5"/>
    <x v="17"/>
    <n v="41.4"/>
    <x v="98"/>
    <x v="3"/>
    <d v="2025-01-08T00:00:00"/>
    <x v="1"/>
    <x v="2"/>
    <x v="2"/>
    <x v="0"/>
    <x v="3"/>
    <x v="5"/>
    <x v="0"/>
    <x v="1"/>
  </r>
  <r>
    <x v="101"/>
    <x v="2"/>
    <x v="1"/>
    <n v="160"/>
    <x v="99"/>
    <x v="4"/>
    <d v="2025-01-06T00:00:00"/>
    <x v="1"/>
    <x v="2"/>
    <x v="2"/>
    <x v="0"/>
    <x v="5"/>
    <x v="3"/>
    <x v="1"/>
    <x v="1"/>
  </r>
  <r>
    <x v="102"/>
    <x v="19"/>
    <x v="5"/>
    <n v="10.5"/>
    <x v="100"/>
    <x v="4"/>
    <d v="2025-01-08T00:00:00"/>
    <x v="2"/>
    <x v="4"/>
    <x v="0"/>
    <x v="0"/>
    <x v="8"/>
    <x v="2"/>
    <x v="1"/>
    <x v="2"/>
  </r>
  <r>
    <x v="103"/>
    <x v="10"/>
    <x v="1"/>
    <n v="53"/>
    <x v="101"/>
    <x v="4"/>
    <d v="2025-01-05T00:00:00"/>
    <x v="1"/>
    <x v="2"/>
    <x v="4"/>
    <x v="0"/>
    <x v="17"/>
    <x v="7"/>
    <x v="1"/>
    <x v="1"/>
  </r>
  <r>
    <x v="104"/>
    <x v="8"/>
    <x v="2"/>
    <n v="18.5"/>
    <x v="102"/>
    <x v="4"/>
    <d v="2025-01-10T00:00:00"/>
    <x v="2"/>
    <x v="1"/>
    <x v="2"/>
    <x v="0"/>
    <x v="11"/>
    <x v="0"/>
    <x v="1"/>
    <x v="2"/>
  </r>
  <r>
    <x v="105"/>
    <x v="16"/>
    <x v="2"/>
    <n v="84.5"/>
    <x v="103"/>
    <x v="4"/>
    <d v="2025-01-07T00:00:00"/>
    <x v="2"/>
    <x v="4"/>
    <x v="1"/>
    <x v="0"/>
    <x v="13"/>
    <x v="1"/>
    <x v="1"/>
    <x v="2"/>
  </r>
  <r>
    <x v="106"/>
    <x v="15"/>
    <x v="3"/>
    <n v="31.2"/>
    <x v="104"/>
    <x v="4"/>
    <d v="2025-01-05T00:00:00"/>
    <x v="2"/>
    <x v="2"/>
    <x v="2"/>
    <x v="0"/>
    <x v="3"/>
    <x v="7"/>
    <x v="1"/>
    <x v="2"/>
  </r>
  <r>
    <x v="107"/>
    <x v="8"/>
    <x v="16"/>
    <n v="32.6"/>
    <x v="105"/>
    <x v="4"/>
    <d v="2025-01-06T00:00:00"/>
    <x v="1"/>
    <x v="1"/>
    <x v="1"/>
    <x v="0"/>
    <x v="3"/>
    <x v="3"/>
    <x v="1"/>
    <x v="1"/>
  </r>
  <r>
    <x v="108"/>
    <x v="10"/>
    <x v="12"/>
    <n v="45.4"/>
    <x v="106"/>
    <x v="4"/>
    <d v="2025-01-07T00:00:00"/>
    <x v="1"/>
    <x v="1"/>
    <x v="0"/>
    <x v="0"/>
    <x v="3"/>
    <x v="1"/>
    <x v="1"/>
    <x v="1"/>
  </r>
  <r>
    <x v="109"/>
    <x v="2"/>
    <x v="4"/>
    <n v="120"/>
    <x v="107"/>
    <x v="4"/>
    <d v="2025-01-06T00:00:00"/>
    <x v="2"/>
    <x v="2"/>
    <x v="4"/>
    <x v="0"/>
    <x v="3"/>
    <x v="3"/>
    <x v="1"/>
    <x v="2"/>
  </r>
  <r>
    <x v="110"/>
    <x v="0"/>
    <x v="12"/>
    <n v="18.899999999999999"/>
    <x v="108"/>
    <x v="4"/>
    <d v="2025-01-07T00:00:00"/>
    <x v="1"/>
    <x v="0"/>
    <x v="2"/>
    <x v="0"/>
    <x v="3"/>
    <x v="1"/>
    <x v="1"/>
    <x v="1"/>
  </r>
  <r>
    <x v="111"/>
    <x v="4"/>
    <x v="0"/>
    <n v="32"/>
    <x v="109"/>
    <x v="4"/>
    <d v="2025-01-07T00:00:00"/>
    <x v="2"/>
    <x v="4"/>
    <x v="0"/>
    <x v="0"/>
    <x v="3"/>
    <x v="1"/>
    <x v="1"/>
    <x v="2"/>
  </r>
  <r>
    <x v="112"/>
    <x v="7"/>
    <x v="1"/>
    <n v="37.299999999999997"/>
    <x v="110"/>
    <x v="4"/>
    <d v="2025-01-06T00:00:00"/>
    <x v="1"/>
    <x v="2"/>
    <x v="0"/>
    <x v="0"/>
    <x v="3"/>
    <x v="3"/>
    <x v="1"/>
    <x v="1"/>
  </r>
  <r>
    <x v="113"/>
    <x v="18"/>
    <x v="0"/>
    <n v="119.8"/>
    <x v="111"/>
    <x v="4"/>
    <d v="2025-01-06T00:00:00"/>
    <x v="1"/>
    <x v="1"/>
    <x v="1"/>
    <x v="0"/>
    <x v="3"/>
    <x v="3"/>
    <x v="1"/>
    <x v="1"/>
  </r>
  <r>
    <x v="114"/>
    <x v="10"/>
    <x v="1"/>
    <n v="26.4"/>
    <x v="112"/>
    <x v="4"/>
    <d v="2025-01-08T00:00:00"/>
    <x v="1"/>
    <x v="2"/>
    <x v="0"/>
    <x v="0"/>
    <x v="3"/>
    <x v="2"/>
    <x v="1"/>
    <x v="1"/>
  </r>
  <r>
    <x v="115"/>
    <x v="6"/>
    <x v="13"/>
    <n v="76.5"/>
    <x v="113"/>
    <x v="4"/>
    <d v="2025-01-06T00:00:00"/>
    <x v="2"/>
    <x v="1"/>
    <x v="1"/>
    <x v="0"/>
    <x v="3"/>
    <x v="3"/>
    <x v="1"/>
    <x v="2"/>
  </r>
  <r>
    <x v="116"/>
    <x v="4"/>
    <x v="7"/>
    <n v="45.7"/>
    <x v="114"/>
    <x v="4"/>
    <d v="2025-01-06T00:00:00"/>
    <x v="2"/>
    <x v="2"/>
    <x v="0"/>
    <x v="0"/>
    <x v="24"/>
    <x v="3"/>
    <x v="1"/>
    <x v="2"/>
  </r>
  <r>
    <x v="117"/>
    <x v="1"/>
    <x v="4"/>
    <n v="92.6"/>
    <x v="115"/>
    <x v="4"/>
    <d v="2025-01-07T00:00:00"/>
    <x v="2"/>
    <x v="2"/>
    <x v="0"/>
    <x v="0"/>
    <x v="25"/>
    <x v="1"/>
    <x v="1"/>
    <x v="2"/>
  </r>
  <r>
    <x v="118"/>
    <x v="6"/>
    <x v="13"/>
    <n v="60.1"/>
    <x v="116"/>
    <x v="4"/>
    <d v="2025-01-06T00:00:00"/>
    <x v="1"/>
    <x v="1"/>
    <x v="0"/>
    <x v="0"/>
    <x v="23"/>
    <x v="3"/>
    <x v="1"/>
    <x v="1"/>
  </r>
  <r>
    <x v="119"/>
    <x v="1"/>
    <x v="2"/>
    <n v="73"/>
    <x v="20"/>
    <x v="4"/>
    <d v="2025-01-06T00:00:00"/>
    <x v="2"/>
    <x v="3"/>
    <x v="1"/>
    <x v="0"/>
    <x v="6"/>
    <x v="3"/>
    <x v="1"/>
    <x v="2"/>
  </r>
  <r>
    <x v="120"/>
    <x v="6"/>
    <x v="2"/>
    <n v="44.3"/>
    <x v="117"/>
    <x v="4"/>
    <d v="2025-01-09T00:00:00"/>
    <x v="0"/>
    <x v="2"/>
    <x v="2"/>
    <x v="0"/>
    <x v="6"/>
    <x v="5"/>
    <x v="1"/>
    <x v="0"/>
  </r>
  <r>
    <x v="121"/>
    <x v="6"/>
    <x v="2"/>
    <n v="63.3"/>
    <x v="118"/>
    <x v="4"/>
    <d v="2025-01-06T00:00:00"/>
    <x v="1"/>
    <x v="2"/>
    <x v="0"/>
    <x v="0"/>
    <x v="6"/>
    <x v="3"/>
    <x v="1"/>
    <x v="1"/>
  </r>
  <r>
    <x v="122"/>
    <x v="12"/>
    <x v="0"/>
    <n v="66.8"/>
    <x v="119"/>
    <x v="4"/>
    <d v="2025-01-06T00:00:00"/>
    <x v="2"/>
    <x v="1"/>
    <x v="0"/>
    <x v="0"/>
    <x v="6"/>
    <x v="3"/>
    <x v="1"/>
    <x v="2"/>
  </r>
  <r>
    <x v="123"/>
    <x v="2"/>
    <x v="1"/>
    <n v="59.7"/>
    <x v="120"/>
    <x v="4"/>
    <d v="2025-01-06T00:00:00"/>
    <x v="2"/>
    <x v="0"/>
    <x v="0"/>
    <x v="0"/>
    <x v="7"/>
    <x v="3"/>
    <x v="1"/>
    <x v="2"/>
  </r>
  <r>
    <x v="124"/>
    <x v="1"/>
    <x v="13"/>
    <n v="92"/>
    <x v="121"/>
    <x v="4"/>
    <d v="2025-01-07T00:00:00"/>
    <x v="1"/>
    <x v="0"/>
    <x v="4"/>
    <x v="0"/>
    <x v="7"/>
    <x v="1"/>
    <x v="1"/>
    <x v="1"/>
  </r>
  <r>
    <x v="125"/>
    <x v="7"/>
    <x v="1"/>
    <n v="87.6"/>
    <x v="122"/>
    <x v="4"/>
    <d v="2025-01-07T00:00:00"/>
    <x v="1"/>
    <x v="1"/>
    <x v="1"/>
    <x v="0"/>
    <x v="8"/>
    <x v="1"/>
    <x v="1"/>
    <x v="1"/>
  </r>
  <r>
    <x v="126"/>
    <x v="6"/>
    <x v="2"/>
    <n v="84.5"/>
    <x v="103"/>
    <x v="4"/>
    <d v="2025-01-06T00:00:00"/>
    <x v="2"/>
    <x v="1"/>
    <x v="1"/>
    <x v="0"/>
    <x v="8"/>
    <x v="3"/>
    <x v="1"/>
    <x v="2"/>
  </r>
  <r>
    <x v="127"/>
    <x v="1"/>
    <x v="1"/>
    <n v="116.3"/>
    <x v="123"/>
    <x v="5"/>
    <d v="2025-01-08T00:00:00"/>
    <x v="1"/>
    <x v="2"/>
    <x v="2"/>
    <x v="0"/>
    <x v="8"/>
    <x v="1"/>
    <x v="1"/>
    <x v="1"/>
  </r>
  <r>
    <x v="128"/>
    <x v="6"/>
    <x v="9"/>
    <n v="52.7"/>
    <x v="124"/>
    <x v="5"/>
    <d v="2025-01-10T00:00:00"/>
    <x v="1"/>
    <x v="0"/>
    <x v="0"/>
    <x v="0"/>
    <x v="8"/>
    <x v="5"/>
    <x v="1"/>
    <x v="1"/>
  </r>
  <r>
    <x v="129"/>
    <x v="16"/>
    <x v="2"/>
    <n v="34.200000000000003"/>
    <x v="125"/>
    <x v="5"/>
    <d v="2025-01-07T00:00:00"/>
    <x v="1"/>
    <x v="0"/>
    <x v="2"/>
    <x v="0"/>
    <x v="26"/>
    <x v="3"/>
    <x v="1"/>
    <x v="1"/>
  </r>
  <r>
    <x v="130"/>
    <x v="9"/>
    <x v="0"/>
    <n v="23.3"/>
    <x v="126"/>
    <x v="5"/>
    <d v="2025-01-15T00:00:00"/>
    <x v="3"/>
    <x v="2"/>
    <x v="2"/>
    <x v="0"/>
    <x v="9"/>
    <x v="8"/>
    <x v="1"/>
    <x v="3"/>
  </r>
  <r>
    <x v="131"/>
    <x v="0"/>
    <x v="18"/>
    <n v="25.9"/>
    <x v="127"/>
    <x v="5"/>
    <d v="2025-01-09T00:00:00"/>
    <x v="2"/>
    <x v="4"/>
    <x v="1"/>
    <x v="0"/>
    <x v="9"/>
    <x v="2"/>
    <x v="1"/>
    <x v="2"/>
  </r>
  <r>
    <x v="132"/>
    <x v="6"/>
    <x v="19"/>
    <n v="54.9"/>
    <x v="128"/>
    <x v="5"/>
    <d v="2025-01-07T00:00:00"/>
    <x v="1"/>
    <x v="1"/>
    <x v="2"/>
    <x v="0"/>
    <x v="9"/>
    <x v="3"/>
    <x v="1"/>
    <x v="1"/>
  </r>
  <r>
    <x v="133"/>
    <x v="5"/>
    <x v="2"/>
    <n v="75.8"/>
    <x v="129"/>
    <x v="5"/>
    <d v="2025-01-11T00:00:00"/>
    <x v="3"/>
    <x v="1"/>
    <x v="0"/>
    <x v="0"/>
    <x v="18"/>
    <x v="0"/>
    <x v="1"/>
    <x v="3"/>
  </r>
  <r>
    <x v="134"/>
    <x v="1"/>
    <x v="11"/>
    <n v="44.9"/>
    <x v="130"/>
    <x v="5"/>
    <d v="2025-01-09T00:00:00"/>
    <x v="2"/>
    <x v="2"/>
    <x v="2"/>
    <x v="0"/>
    <x v="2"/>
    <x v="2"/>
    <x v="1"/>
    <x v="2"/>
  </r>
  <r>
    <x v="135"/>
    <x v="11"/>
    <x v="1"/>
    <n v="48.8"/>
    <x v="131"/>
    <x v="5"/>
    <d v="2025-01-08T00:00:00"/>
    <x v="2"/>
    <x v="3"/>
    <x v="0"/>
    <x v="0"/>
    <x v="27"/>
    <x v="1"/>
    <x v="1"/>
    <x v="2"/>
  </r>
  <r>
    <x v="136"/>
    <x v="15"/>
    <x v="0"/>
    <n v="20.3"/>
    <x v="132"/>
    <x v="5"/>
    <d v="2025-01-07T00:00:00"/>
    <x v="2"/>
    <x v="0"/>
    <x v="2"/>
    <x v="0"/>
    <x v="22"/>
    <x v="3"/>
    <x v="1"/>
    <x v="2"/>
  </r>
  <r>
    <x v="137"/>
    <x v="5"/>
    <x v="3"/>
    <n v="36.4"/>
    <x v="133"/>
    <x v="5"/>
    <d v="2025-01-09T00:00:00"/>
    <x v="2"/>
    <x v="0"/>
    <x v="1"/>
    <x v="0"/>
    <x v="3"/>
    <x v="2"/>
    <x v="1"/>
    <x v="2"/>
  </r>
  <r>
    <x v="138"/>
    <x v="0"/>
    <x v="0"/>
    <n v="19"/>
    <x v="134"/>
    <x v="5"/>
    <d v="2025-01-11T00:00:00"/>
    <x v="2"/>
    <x v="1"/>
    <x v="2"/>
    <x v="0"/>
    <x v="3"/>
    <x v="0"/>
    <x v="1"/>
    <x v="2"/>
  </r>
  <r>
    <x v="139"/>
    <x v="8"/>
    <x v="0"/>
    <n v="17.8"/>
    <x v="135"/>
    <x v="5"/>
    <d v="2025-01-06T00:00:00"/>
    <x v="1"/>
    <x v="0"/>
    <x v="0"/>
    <x v="0"/>
    <x v="3"/>
    <x v="7"/>
    <x v="1"/>
    <x v="1"/>
  </r>
  <r>
    <x v="140"/>
    <x v="2"/>
    <x v="13"/>
    <n v="139.6"/>
    <x v="136"/>
    <x v="5"/>
    <d v="2025-01-09T00:00:00"/>
    <x v="1"/>
    <x v="0"/>
    <x v="0"/>
    <x v="0"/>
    <x v="3"/>
    <x v="2"/>
    <x v="1"/>
    <x v="1"/>
  </r>
  <r>
    <x v="141"/>
    <x v="9"/>
    <x v="0"/>
    <n v="31.7"/>
    <x v="137"/>
    <x v="5"/>
    <d v="2025-01-06T00:00:00"/>
    <x v="0"/>
    <x v="0"/>
    <x v="0"/>
    <x v="0"/>
    <x v="3"/>
    <x v="7"/>
    <x v="1"/>
    <x v="0"/>
  </r>
  <r>
    <x v="142"/>
    <x v="8"/>
    <x v="8"/>
    <n v="26.3"/>
    <x v="138"/>
    <x v="5"/>
    <d v="2025-01-09T00:00:00"/>
    <x v="2"/>
    <x v="4"/>
    <x v="4"/>
    <x v="0"/>
    <x v="3"/>
    <x v="2"/>
    <x v="1"/>
    <x v="2"/>
  </r>
  <r>
    <x v="143"/>
    <x v="4"/>
    <x v="1"/>
    <n v="47.8"/>
    <x v="139"/>
    <x v="5"/>
    <d v="2025-01-07T00:00:00"/>
    <x v="0"/>
    <x v="0"/>
    <x v="0"/>
    <x v="0"/>
    <x v="3"/>
    <x v="3"/>
    <x v="1"/>
    <x v="0"/>
  </r>
  <r>
    <x v="144"/>
    <x v="9"/>
    <x v="2"/>
    <n v="69.400000000000006"/>
    <x v="140"/>
    <x v="5"/>
    <d v="2025-01-10T00:00:00"/>
    <x v="2"/>
    <x v="0"/>
    <x v="0"/>
    <x v="0"/>
    <x v="3"/>
    <x v="5"/>
    <x v="1"/>
    <x v="2"/>
  </r>
  <r>
    <x v="145"/>
    <x v="18"/>
    <x v="4"/>
    <n v="25.8"/>
    <x v="141"/>
    <x v="5"/>
    <d v="2025-01-07T00:00:00"/>
    <x v="1"/>
    <x v="4"/>
    <x v="4"/>
    <x v="0"/>
    <x v="3"/>
    <x v="3"/>
    <x v="1"/>
    <x v="1"/>
  </r>
  <r>
    <x v="146"/>
    <x v="0"/>
    <x v="12"/>
    <n v="26.4"/>
    <x v="142"/>
    <x v="5"/>
    <d v="2025-01-07T00:00:00"/>
    <x v="1"/>
    <x v="1"/>
    <x v="2"/>
    <x v="0"/>
    <x v="3"/>
    <x v="3"/>
    <x v="1"/>
    <x v="1"/>
  </r>
  <r>
    <x v="147"/>
    <x v="8"/>
    <x v="12"/>
    <n v="15.7"/>
    <x v="143"/>
    <x v="5"/>
    <d v="2025-01-07T00:00:00"/>
    <x v="1"/>
    <x v="2"/>
    <x v="0"/>
    <x v="0"/>
    <x v="3"/>
    <x v="3"/>
    <x v="1"/>
    <x v="1"/>
  </r>
  <r>
    <x v="148"/>
    <x v="8"/>
    <x v="0"/>
    <n v="39.700000000000003"/>
    <x v="144"/>
    <x v="5"/>
    <d v="2025-01-10T00:00:00"/>
    <x v="1"/>
    <x v="0"/>
    <x v="0"/>
    <x v="0"/>
    <x v="3"/>
    <x v="5"/>
    <x v="1"/>
    <x v="1"/>
  </r>
  <r>
    <x v="149"/>
    <x v="10"/>
    <x v="12"/>
    <n v="31.1"/>
    <x v="145"/>
    <x v="5"/>
    <d v="2025-01-08T00:00:00"/>
    <x v="2"/>
    <x v="2"/>
    <x v="1"/>
    <x v="0"/>
    <x v="3"/>
    <x v="1"/>
    <x v="1"/>
    <x v="2"/>
  </r>
  <r>
    <x v="150"/>
    <x v="13"/>
    <x v="20"/>
    <n v="23.4"/>
    <x v="146"/>
    <x v="5"/>
    <d v="2025-01-15T00:00:00"/>
    <x v="1"/>
    <x v="0"/>
    <x v="0"/>
    <x v="0"/>
    <x v="3"/>
    <x v="8"/>
    <x v="1"/>
    <x v="1"/>
  </r>
  <r>
    <x v="151"/>
    <x v="1"/>
    <x v="12"/>
    <n v="57.1"/>
    <x v="147"/>
    <x v="6"/>
    <d v="2025-01-08T00:00:00"/>
    <x v="1"/>
    <x v="2"/>
    <x v="0"/>
    <x v="0"/>
    <x v="25"/>
    <x v="3"/>
    <x v="1"/>
    <x v="1"/>
  </r>
  <r>
    <x v="152"/>
    <x v="2"/>
    <x v="9"/>
    <n v="89.9"/>
    <x v="148"/>
    <x v="6"/>
    <d v="2025-01-07T00:00:00"/>
    <x v="2"/>
    <x v="0"/>
    <x v="3"/>
    <x v="0"/>
    <x v="23"/>
    <x v="7"/>
    <x v="1"/>
    <x v="2"/>
  </r>
  <r>
    <x v="153"/>
    <x v="10"/>
    <x v="3"/>
    <n v="48.1"/>
    <x v="149"/>
    <x v="6"/>
    <d v="2025-01-09T00:00:00"/>
    <x v="2"/>
    <x v="1"/>
    <x v="2"/>
    <x v="0"/>
    <x v="6"/>
    <x v="1"/>
    <x v="1"/>
    <x v="2"/>
  </r>
  <r>
    <x v="154"/>
    <x v="8"/>
    <x v="1"/>
    <n v="29.3"/>
    <x v="150"/>
    <x v="6"/>
    <d v="2025-01-07T00:00:00"/>
    <x v="2"/>
    <x v="1"/>
    <x v="1"/>
    <x v="0"/>
    <x v="6"/>
    <x v="7"/>
    <x v="1"/>
    <x v="2"/>
  </r>
  <r>
    <x v="155"/>
    <x v="8"/>
    <x v="12"/>
    <n v="28.8"/>
    <x v="151"/>
    <x v="6"/>
    <d v="2025-01-08T00:00:00"/>
    <x v="2"/>
    <x v="0"/>
    <x v="4"/>
    <x v="0"/>
    <x v="6"/>
    <x v="3"/>
    <x v="1"/>
    <x v="2"/>
  </r>
  <r>
    <x v="156"/>
    <x v="10"/>
    <x v="9"/>
    <n v="40.5"/>
    <x v="152"/>
    <x v="6"/>
    <d v="2025-01-11T00:00:00"/>
    <x v="2"/>
    <x v="3"/>
    <x v="0"/>
    <x v="0"/>
    <x v="6"/>
    <x v="5"/>
    <x v="1"/>
    <x v="2"/>
  </r>
  <r>
    <x v="157"/>
    <x v="18"/>
    <x v="21"/>
    <n v="65.099999999999994"/>
    <x v="153"/>
    <x v="6"/>
    <d v="2025-01-08T00:00:00"/>
    <x v="2"/>
    <x v="4"/>
    <x v="0"/>
    <x v="0"/>
    <x v="7"/>
    <x v="3"/>
    <x v="1"/>
    <x v="2"/>
  </r>
  <r>
    <x v="158"/>
    <x v="8"/>
    <x v="12"/>
    <n v="40.299999999999997"/>
    <x v="154"/>
    <x v="6"/>
    <d v="2025-01-12T00:00:00"/>
    <x v="2"/>
    <x v="2"/>
    <x v="0"/>
    <x v="0"/>
    <x v="7"/>
    <x v="0"/>
    <x v="1"/>
    <x v="2"/>
  </r>
  <r>
    <x v="159"/>
    <x v="6"/>
    <x v="9"/>
    <n v="51.8"/>
    <x v="155"/>
    <x v="6"/>
    <d v="2025-01-08T00:00:00"/>
    <x v="1"/>
    <x v="2"/>
    <x v="2"/>
    <x v="0"/>
    <x v="8"/>
    <x v="3"/>
    <x v="1"/>
    <x v="1"/>
  </r>
  <r>
    <x v="160"/>
    <x v="6"/>
    <x v="2"/>
    <n v="61.3"/>
    <x v="156"/>
    <x v="6"/>
    <d v="2025-01-08T00:00:00"/>
    <x v="2"/>
    <x v="3"/>
    <x v="0"/>
    <x v="0"/>
    <x v="8"/>
    <x v="3"/>
    <x v="1"/>
    <x v="2"/>
  </r>
  <r>
    <x v="161"/>
    <x v="2"/>
    <x v="12"/>
    <n v="122.5"/>
    <x v="157"/>
    <x v="6"/>
    <d v="2025-01-08T00:00:00"/>
    <x v="1"/>
    <x v="0"/>
    <x v="0"/>
    <x v="0"/>
    <x v="8"/>
    <x v="3"/>
    <x v="1"/>
    <x v="1"/>
  </r>
  <r>
    <x v="162"/>
    <x v="0"/>
    <x v="11"/>
    <n v="12.5"/>
    <x v="158"/>
    <x v="6"/>
    <d v="2025-01-08T00:00:00"/>
    <x v="0"/>
    <x v="1"/>
    <x v="2"/>
    <x v="0"/>
    <x v="8"/>
    <x v="3"/>
    <x v="1"/>
    <x v="0"/>
  </r>
  <r>
    <x v="163"/>
    <x v="15"/>
    <x v="8"/>
    <n v="37.5"/>
    <x v="159"/>
    <x v="6"/>
    <d v="2025-01-08T00:00:00"/>
    <x v="2"/>
    <x v="0"/>
    <x v="0"/>
    <x v="0"/>
    <x v="9"/>
    <x v="3"/>
    <x v="1"/>
    <x v="2"/>
  </r>
  <r>
    <x v="164"/>
    <x v="6"/>
    <x v="2"/>
    <n v="40"/>
    <x v="160"/>
    <x v="6"/>
    <d v="2025-01-10T00:00:00"/>
    <x v="1"/>
    <x v="0"/>
    <x v="4"/>
    <x v="0"/>
    <x v="11"/>
    <x v="2"/>
    <x v="1"/>
    <x v="1"/>
  </r>
  <r>
    <x v="165"/>
    <x v="17"/>
    <x v="8"/>
    <n v="38.5"/>
    <x v="161"/>
    <x v="6"/>
    <d v="2025-01-12T00:00:00"/>
    <x v="2"/>
    <x v="2"/>
    <x v="1"/>
    <x v="0"/>
    <x v="11"/>
    <x v="0"/>
    <x v="1"/>
    <x v="2"/>
  </r>
  <r>
    <x v="166"/>
    <x v="2"/>
    <x v="1"/>
    <n v="86.4"/>
    <x v="162"/>
    <x v="6"/>
    <d v="2025-01-09T00:00:00"/>
    <x v="2"/>
    <x v="0"/>
    <x v="0"/>
    <x v="0"/>
    <x v="18"/>
    <x v="1"/>
    <x v="1"/>
    <x v="2"/>
  </r>
  <r>
    <x v="167"/>
    <x v="10"/>
    <x v="0"/>
    <n v="50.7"/>
    <x v="163"/>
    <x v="6"/>
    <d v="2025-01-11T00:00:00"/>
    <x v="2"/>
    <x v="1"/>
    <x v="0"/>
    <x v="0"/>
    <x v="18"/>
    <x v="5"/>
    <x v="1"/>
    <x v="2"/>
  </r>
  <r>
    <x v="168"/>
    <x v="10"/>
    <x v="1"/>
    <n v="61"/>
    <x v="164"/>
    <x v="6"/>
    <d v="2025-01-18T00:00:00"/>
    <x v="2"/>
    <x v="4"/>
    <x v="1"/>
    <x v="0"/>
    <x v="18"/>
    <x v="11"/>
    <x v="1"/>
    <x v="2"/>
  </r>
  <r>
    <x v="169"/>
    <x v="4"/>
    <x v="1"/>
    <n v="19.899999999999999"/>
    <x v="165"/>
    <x v="6"/>
    <d v="2025-01-10T00:00:00"/>
    <x v="2"/>
    <x v="1"/>
    <x v="0"/>
    <x v="0"/>
    <x v="28"/>
    <x v="2"/>
    <x v="1"/>
    <x v="2"/>
  </r>
  <r>
    <x v="170"/>
    <x v="5"/>
    <x v="0"/>
    <n v="78.3"/>
    <x v="166"/>
    <x v="6"/>
    <d v="2025-01-07T00:00:00"/>
    <x v="2"/>
    <x v="0"/>
    <x v="2"/>
    <x v="0"/>
    <x v="1"/>
    <x v="7"/>
    <x v="1"/>
    <x v="2"/>
  </r>
  <r>
    <x v="171"/>
    <x v="0"/>
    <x v="10"/>
    <n v="10.4"/>
    <x v="167"/>
    <x v="6"/>
    <d v="2025-01-09T00:00:00"/>
    <x v="1"/>
    <x v="0"/>
    <x v="2"/>
    <x v="0"/>
    <x v="2"/>
    <x v="1"/>
    <x v="1"/>
    <x v="1"/>
  </r>
  <r>
    <x v="172"/>
    <x v="10"/>
    <x v="0"/>
    <n v="36.1"/>
    <x v="168"/>
    <x v="6"/>
    <d v="2025-01-10T00:00:00"/>
    <x v="1"/>
    <x v="3"/>
    <x v="2"/>
    <x v="0"/>
    <x v="3"/>
    <x v="2"/>
    <x v="1"/>
    <x v="1"/>
  </r>
  <r>
    <x v="173"/>
    <x v="14"/>
    <x v="1"/>
    <n v="17.3"/>
    <x v="169"/>
    <x v="6"/>
    <d v="2025-01-09T00:00:00"/>
    <x v="2"/>
    <x v="1"/>
    <x v="2"/>
    <x v="0"/>
    <x v="3"/>
    <x v="1"/>
    <x v="1"/>
    <x v="2"/>
  </r>
  <r>
    <x v="174"/>
    <x v="10"/>
    <x v="1"/>
    <n v="30.5"/>
    <x v="170"/>
    <x v="6"/>
    <d v="2025-01-08T00:00:00"/>
    <x v="2"/>
    <x v="1"/>
    <x v="2"/>
    <x v="0"/>
    <x v="3"/>
    <x v="3"/>
    <x v="1"/>
    <x v="2"/>
  </r>
  <r>
    <x v="175"/>
    <x v="18"/>
    <x v="22"/>
    <n v="70.099999999999994"/>
    <x v="171"/>
    <x v="6"/>
    <d v="2025-01-07T00:00:00"/>
    <x v="2"/>
    <x v="2"/>
    <x v="0"/>
    <x v="0"/>
    <x v="3"/>
    <x v="7"/>
    <x v="1"/>
    <x v="2"/>
  </r>
  <r>
    <x v="176"/>
    <x v="3"/>
    <x v="0"/>
    <n v="76.099999999999994"/>
    <x v="172"/>
    <x v="6"/>
    <d v="2025-01-07T00:00:00"/>
    <x v="2"/>
    <x v="2"/>
    <x v="1"/>
    <x v="0"/>
    <x v="3"/>
    <x v="7"/>
    <x v="1"/>
    <x v="2"/>
  </r>
  <r>
    <x v="177"/>
    <x v="15"/>
    <x v="15"/>
    <n v="34.200000000000003"/>
    <x v="173"/>
    <x v="6"/>
    <d v="2025-01-08T00:00:00"/>
    <x v="1"/>
    <x v="0"/>
    <x v="0"/>
    <x v="0"/>
    <x v="3"/>
    <x v="3"/>
    <x v="1"/>
    <x v="1"/>
  </r>
  <r>
    <x v="178"/>
    <x v="8"/>
    <x v="9"/>
    <n v="30.3"/>
    <x v="174"/>
    <x v="6"/>
    <d v="2025-01-12T00:00:00"/>
    <x v="2"/>
    <x v="4"/>
    <x v="0"/>
    <x v="0"/>
    <x v="3"/>
    <x v="0"/>
    <x v="1"/>
    <x v="2"/>
  </r>
  <r>
    <x v="179"/>
    <x v="6"/>
    <x v="9"/>
    <n v="52.5"/>
    <x v="175"/>
    <x v="6"/>
    <d v="2025-01-11T00:00:00"/>
    <x v="0"/>
    <x v="3"/>
    <x v="0"/>
    <x v="0"/>
    <x v="3"/>
    <x v="5"/>
    <x v="1"/>
    <x v="0"/>
  </r>
  <r>
    <x v="180"/>
    <x v="9"/>
    <x v="5"/>
    <n v="28.7"/>
    <x v="176"/>
    <x v="6"/>
    <d v="2025-01-08T00:00:00"/>
    <x v="2"/>
    <x v="2"/>
    <x v="0"/>
    <x v="0"/>
    <x v="3"/>
    <x v="3"/>
    <x v="1"/>
    <x v="2"/>
  </r>
  <r>
    <x v="181"/>
    <x v="7"/>
    <x v="3"/>
    <n v="52"/>
    <x v="177"/>
    <x v="6"/>
    <d v="2025-01-08T00:00:00"/>
    <x v="1"/>
    <x v="1"/>
    <x v="4"/>
    <x v="0"/>
    <x v="3"/>
    <x v="3"/>
    <x v="1"/>
    <x v="1"/>
  </r>
  <r>
    <x v="182"/>
    <x v="0"/>
    <x v="0"/>
    <n v="13.3"/>
    <x v="178"/>
    <x v="7"/>
    <d v="2025-01-12T00:00:00"/>
    <x v="2"/>
    <x v="2"/>
    <x v="1"/>
    <x v="0"/>
    <x v="3"/>
    <x v="5"/>
    <x v="1"/>
    <x v="2"/>
  </r>
  <r>
    <x v="183"/>
    <x v="0"/>
    <x v="2"/>
    <n v="15.7"/>
    <x v="179"/>
    <x v="7"/>
    <d v="2025-01-09T00:00:00"/>
    <x v="2"/>
    <x v="1"/>
    <x v="0"/>
    <x v="0"/>
    <x v="29"/>
    <x v="3"/>
    <x v="1"/>
    <x v="2"/>
  </r>
  <r>
    <x v="184"/>
    <x v="8"/>
    <x v="1"/>
    <n v="25.6"/>
    <x v="180"/>
    <x v="7"/>
    <d v="2025-01-09T00:00:00"/>
    <x v="1"/>
    <x v="0"/>
    <x v="2"/>
    <x v="0"/>
    <x v="23"/>
    <x v="3"/>
    <x v="1"/>
    <x v="1"/>
  </r>
  <r>
    <x v="185"/>
    <x v="8"/>
    <x v="0"/>
    <n v="43.4"/>
    <x v="181"/>
    <x v="7"/>
    <d v="2025-01-13T00:00:00"/>
    <x v="1"/>
    <x v="0"/>
    <x v="0"/>
    <x v="0"/>
    <x v="6"/>
    <x v="0"/>
    <x v="1"/>
    <x v="1"/>
  </r>
  <r>
    <x v="186"/>
    <x v="11"/>
    <x v="11"/>
    <n v="33.4"/>
    <x v="182"/>
    <x v="7"/>
    <d v="2025-01-08T00:00:00"/>
    <x v="2"/>
    <x v="0"/>
    <x v="0"/>
    <x v="0"/>
    <x v="8"/>
    <x v="7"/>
    <x v="1"/>
    <x v="2"/>
  </r>
  <r>
    <x v="187"/>
    <x v="8"/>
    <x v="10"/>
    <n v="55"/>
    <x v="183"/>
    <x v="7"/>
    <d v="2025-01-09T00:00:00"/>
    <x v="2"/>
    <x v="1"/>
    <x v="2"/>
    <x v="0"/>
    <x v="8"/>
    <x v="3"/>
    <x v="1"/>
    <x v="2"/>
  </r>
  <r>
    <x v="188"/>
    <x v="8"/>
    <x v="2"/>
    <n v="23.6"/>
    <x v="184"/>
    <x v="7"/>
    <d v="2025-01-09T00:00:00"/>
    <x v="1"/>
    <x v="0"/>
    <x v="2"/>
    <x v="0"/>
    <x v="8"/>
    <x v="3"/>
    <x v="1"/>
    <x v="1"/>
  </r>
  <r>
    <x v="189"/>
    <x v="12"/>
    <x v="11"/>
    <n v="104"/>
    <x v="185"/>
    <x v="7"/>
    <d v="2025-01-10T00:00:00"/>
    <x v="2"/>
    <x v="2"/>
    <x v="2"/>
    <x v="0"/>
    <x v="17"/>
    <x v="1"/>
    <x v="1"/>
    <x v="2"/>
  </r>
  <r>
    <x v="190"/>
    <x v="6"/>
    <x v="1"/>
    <n v="51.8"/>
    <x v="186"/>
    <x v="7"/>
    <d v="2025-01-12T00:00:00"/>
    <x v="0"/>
    <x v="0"/>
    <x v="2"/>
    <x v="0"/>
    <x v="10"/>
    <x v="5"/>
    <x v="1"/>
    <x v="0"/>
  </r>
  <r>
    <x v="191"/>
    <x v="10"/>
    <x v="9"/>
    <n v="34.5"/>
    <x v="187"/>
    <x v="7"/>
    <d v="2025-01-10T00:00:00"/>
    <x v="0"/>
    <x v="2"/>
    <x v="2"/>
    <x v="0"/>
    <x v="11"/>
    <x v="1"/>
    <x v="1"/>
    <x v="0"/>
  </r>
  <r>
    <x v="192"/>
    <x v="6"/>
    <x v="1"/>
    <n v="51.8"/>
    <x v="186"/>
    <x v="7"/>
    <d v="2025-01-10T00:00:00"/>
    <x v="1"/>
    <x v="1"/>
    <x v="2"/>
    <x v="0"/>
    <x v="30"/>
    <x v="1"/>
    <x v="1"/>
    <x v="1"/>
  </r>
  <r>
    <x v="193"/>
    <x v="18"/>
    <x v="23"/>
    <n v="131.5"/>
    <x v="188"/>
    <x v="7"/>
    <d v="2025-01-09T00:00:00"/>
    <x v="2"/>
    <x v="0"/>
    <x v="2"/>
    <x v="0"/>
    <x v="18"/>
    <x v="3"/>
    <x v="1"/>
    <x v="2"/>
  </r>
  <r>
    <x v="194"/>
    <x v="8"/>
    <x v="3"/>
    <n v="47.8"/>
    <x v="189"/>
    <x v="7"/>
    <d v="2025-01-08T00:00:00"/>
    <x v="2"/>
    <x v="0"/>
    <x v="0"/>
    <x v="0"/>
    <x v="19"/>
    <x v="7"/>
    <x v="1"/>
    <x v="2"/>
  </r>
  <r>
    <x v="195"/>
    <x v="0"/>
    <x v="1"/>
    <n v="10.199999999999999"/>
    <x v="190"/>
    <x v="7"/>
    <d v="2025-01-10T00:00:00"/>
    <x v="2"/>
    <x v="0"/>
    <x v="0"/>
    <x v="0"/>
    <x v="19"/>
    <x v="1"/>
    <x v="1"/>
    <x v="2"/>
  </r>
  <r>
    <x v="196"/>
    <x v="8"/>
    <x v="8"/>
    <n v="41"/>
    <x v="191"/>
    <x v="7"/>
    <d v="2025-01-08T00:00:00"/>
    <x v="2"/>
    <x v="1"/>
    <x v="2"/>
    <x v="0"/>
    <x v="19"/>
    <x v="7"/>
    <x v="1"/>
    <x v="2"/>
  </r>
  <r>
    <x v="197"/>
    <x v="10"/>
    <x v="3"/>
    <n v="50.8"/>
    <x v="192"/>
    <x v="7"/>
    <d v="2025-01-11T00:00:00"/>
    <x v="2"/>
    <x v="1"/>
    <x v="0"/>
    <x v="0"/>
    <x v="21"/>
    <x v="2"/>
    <x v="1"/>
    <x v="2"/>
  </r>
  <r>
    <x v="198"/>
    <x v="18"/>
    <x v="2"/>
    <n v="39.6"/>
    <x v="193"/>
    <x v="7"/>
    <d v="2025-01-09T00:00:00"/>
    <x v="1"/>
    <x v="2"/>
    <x v="2"/>
    <x v="0"/>
    <x v="1"/>
    <x v="3"/>
    <x v="1"/>
    <x v="1"/>
  </r>
  <r>
    <x v="199"/>
    <x v="5"/>
    <x v="1"/>
    <n v="69.5"/>
    <x v="194"/>
    <x v="7"/>
    <d v="2025-01-10T00:00:00"/>
    <x v="1"/>
    <x v="0"/>
    <x v="2"/>
    <x v="0"/>
    <x v="2"/>
    <x v="1"/>
    <x v="1"/>
    <x v="1"/>
  </r>
  <r>
    <x v="200"/>
    <x v="8"/>
    <x v="8"/>
    <n v="32.6"/>
    <x v="195"/>
    <x v="7"/>
    <d v="2025-01-11T00:00:00"/>
    <x v="1"/>
    <x v="1"/>
    <x v="0"/>
    <x v="0"/>
    <x v="3"/>
    <x v="2"/>
    <x v="1"/>
    <x v="1"/>
  </r>
  <r>
    <x v="201"/>
    <x v="7"/>
    <x v="1"/>
    <n v="49.1"/>
    <x v="196"/>
    <x v="7"/>
    <d v="2025-01-16T00:00:00"/>
    <x v="1"/>
    <x v="3"/>
    <x v="2"/>
    <x v="0"/>
    <x v="3"/>
    <x v="9"/>
    <x v="1"/>
    <x v="1"/>
  </r>
  <r>
    <x v="202"/>
    <x v="6"/>
    <x v="1"/>
    <n v="49.4"/>
    <x v="197"/>
    <x v="8"/>
    <d v="2025-01-10T00:00:00"/>
    <x v="2"/>
    <x v="2"/>
    <x v="0"/>
    <x v="0"/>
    <x v="3"/>
    <x v="3"/>
    <x v="1"/>
    <x v="2"/>
  </r>
  <r>
    <x v="203"/>
    <x v="7"/>
    <x v="3"/>
    <n v="65.099999999999994"/>
    <x v="198"/>
    <x v="8"/>
    <d v="2025-01-12T00:00:00"/>
    <x v="2"/>
    <x v="2"/>
    <x v="2"/>
    <x v="0"/>
    <x v="3"/>
    <x v="2"/>
    <x v="1"/>
    <x v="2"/>
  </r>
  <r>
    <x v="204"/>
    <x v="3"/>
    <x v="1"/>
    <n v="52.1"/>
    <x v="199"/>
    <x v="8"/>
    <d v="2025-01-13T00:00:00"/>
    <x v="2"/>
    <x v="2"/>
    <x v="0"/>
    <x v="0"/>
    <x v="3"/>
    <x v="5"/>
    <x v="1"/>
    <x v="2"/>
  </r>
  <r>
    <x v="205"/>
    <x v="2"/>
    <x v="12"/>
    <n v="129.19999999999999"/>
    <x v="200"/>
    <x v="8"/>
    <d v="2025-01-10T00:00:00"/>
    <x v="2"/>
    <x v="1"/>
    <x v="0"/>
    <x v="0"/>
    <x v="3"/>
    <x v="3"/>
    <x v="1"/>
    <x v="2"/>
  </r>
  <r>
    <x v="206"/>
    <x v="1"/>
    <x v="10"/>
    <n v="81.8"/>
    <x v="201"/>
    <x v="8"/>
    <d v="2025-01-09T00:00:00"/>
    <x v="2"/>
    <x v="1"/>
    <x v="1"/>
    <x v="0"/>
    <x v="3"/>
    <x v="7"/>
    <x v="1"/>
    <x v="2"/>
  </r>
  <r>
    <x v="207"/>
    <x v="17"/>
    <x v="0"/>
    <n v="24.9"/>
    <x v="202"/>
    <x v="8"/>
    <d v="2025-01-13T00:00:00"/>
    <x v="2"/>
    <x v="1"/>
    <x v="0"/>
    <x v="0"/>
    <x v="3"/>
    <x v="5"/>
    <x v="1"/>
    <x v="2"/>
  </r>
  <r>
    <x v="208"/>
    <x v="0"/>
    <x v="2"/>
    <n v="49.4"/>
    <x v="203"/>
    <x v="8"/>
    <d v="2025-01-12T00:00:00"/>
    <x v="2"/>
    <x v="4"/>
    <x v="4"/>
    <x v="0"/>
    <x v="3"/>
    <x v="2"/>
    <x v="1"/>
    <x v="2"/>
  </r>
  <r>
    <x v="209"/>
    <x v="8"/>
    <x v="1"/>
    <n v="22.7"/>
    <x v="204"/>
    <x v="8"/>
    <d v="2025-01-10T00:00:00"/>
    <x v="1"/>
    <x v="3"/>
    <x v="2"/>
    <x v="0"/>
    <x v="3"/>
    <x v="3"/>
    <x v="1"/>
    <x v="1"/>
  </r>
  <r>
    <x v="210"/>
    <x v="1"/>
    <x v="0"/>
    <n v="77.3"/>
    <x v="83"/>
    <x v="8"/>
    <d v="2025-01-09T00:00:00"/>
    <x v="2"/>
    <x v="0"/>
    <x v="2"/>
    <x v="0"/>
    <x v="6"/>
    <x v="7"/>
    <x v="1"/>
    <x v="2"/>
  </r>
  <r>
    <x v="211"/>
    <x v="1"/>
    <x v="9"/>
    <n v="109.1"/>
    <x v="205"/>
    <x v="8"/>
    <d v="2025-01-12T00:00:00"/>
    <x v="2"/>
    <x v="0"/>
    <x v="0"/>
    <x v="0"/>
    <x v="6"/>
    <x v="2"/>
    <x v="1"/>
    <x v="2"/>
  </r>
  <r>
    <x v="212"/>
    <x v="2"/>
    <x v="12"/>
    <n v="53.9"/>
    <x v="206"/>
    <x v="8"/>
    <d v="2025-01-10T00:00:00"/>
    <x v="1"/>
    <x v="0"/>
    <x v="1"/>
    <x v="0"/>
    <x v="8"/>
    <x v="3"/>
    <x v="1"/>
    <x v="1"/>
  </r>
  <r>
    <x v="213"/>
    <x v="9"/>
    <x v="18"/>
    <n v="21.2"/>
    <x v="207"/>
    <x v="8"/>
    <d v="2025-01-09T00:00:00"/>
    <x v="2"/>
    <x v="0"/>
    <x v="0"/>
    <x v="0"/>
    <x v="9"/>
    <x v="7"/>
    <x v="1"/>
    <x v="2"/>
  </r>
  <r>
    <x v="214"/>
    <x v="16"/>
    <x v="12"/>
    <n v="69"/>
    <x v="208"/>
    <x v="8"/>
    <d v="2025-01-11T00:00:00"/>
    <x v="2"/>
    <x v="1"/>
    <x v="1"/>
    <x v="0"/>
    <x v="18"/>
    <x v="1"/>
    <x v="1"/>
    <x v="2"/>
  </r>
  <r>
    <x v="215"/>
    <x v="6"/>
    <x v="2"/>
    <n v="46.2"/>
    <x v="209"/>
    <x v="8"/>
    <d v="2025-01-11T00:00:00"/>
    <x v="2"/>
    <x v="0"/>
    <x v="2"/>
    <x v="0"/>
    <x v="31"/>
    <x v="1"/>
    <x v="1"/>
    <x v="2"/>
  </r>
  <r>
    <x v="216"/>
    <x v="1"/>
    <x v="9"/>
    <n v="97.4"/>
    <x v="210"/>
    <x v="8"/>
    <d v="2025-01-13T00:00:00"/>
    <x v="2"/>
    <x v="4"/>
    <x v="2"/>
    <x v="0"/>
    <x v="21"/>
    <x v="5"/>
    <x v="1"/>
    <x v="2"/>
  </r>
  <r>
    <x v="217"/>
    <x v="8"/>
    <x v="9"/>
    <n v="21"/>
    <x v="211"/>
    <x v="8"/>
    <d v="2025-01-10T00:00:00"/>
    <x v="1"/>
    <x v="0"/>
    <x v="1"/>
    <x v="0"/>
    <x v="21"/>
    <x v="3"/>
    <x v="1"/>
    <x v="1"/>
  </r>
  <r>
    <x v="218"/>
    <x v="5"/>
    <x v="1"/>
    <n v="32.700000000000003"/>
    <x v="212"/>
    <x v="9"/>
    <d v="2025-01-13T00:00:00"/>
    <x v="2"/>
    <x v="1"/>
    <x v="0"/>
    <x v="0"/>
    <x v="2"/>
    <x v="2"/>
    <x v="1"/>
    <x v="2"/>
  </r>
  <r>
    <x v="219"/>
    <x v="6"/>
    <x v="12"/>
    <n v="48"/>
    <x v="213"/>
    <x v="9"/>
    <d v="2025-01-11T00:00:00"/>
    <x v="1"/>
    <x v="3"/>
    <x v="0"/>
    <x v="0"/>
    <x v="3"/>
    <x v="3"/>
    <x v="1"/>
    <x v="1"/>
  </r>
  <r>
    <x v="220"/>
    <x v="6"/>
    <x v="2"/>
    <n v="68.2"/>
    <x v="214"/>
    <x v="9"/>
    <d v="2025-01-14T00:00:00"/>
    <x v="0"/>
    <x v="0"/>
    <x v="2"/>
    <x v="0"/>
    <x v="3"/>
    <x v="5"/>
    <x v="1"/>
    <x v="0"/>
  </r>
  <r>
    <x v="221"/>
    <x v="5"/>
    <x v="0"/>
    <n v="45.4"/>
    <x v="204"/>
    <x v="9"/>
    <d v="2025-01-12T00:00:00"/>
    <x v="1"/>
    <x v="1"/>
    <x v="0"/>
    <x v="0"/>
    <x v="3"/>
    <x v="1"/>
    <x v="1"/>
    <x v="1"/>
  </r>
  <r>
    <x v="222"/>
    <x v="12"/>
    <x v="1"/>
    <n v="53.9"/>
    <x v="215"/>
    <x v="9"/>
    <d v="2025-01-11T00:00:00"/>
    <x v="2"/>
    <x v="2"/>
    <x v="0"/>
    <x v="0"/>
    <x v="3"/>
    <x v="3"/>
    <x v="1"/>
    <x v="2"/>
  </r>
  <r>
    <x v="223"/>
    <x v="2"/>
    <x v="12"/>
    <n v="62.1"/>
    <x v="216"/>
    <x v="9"/>
    <d v="2025-01-14T00:00:00"/>
    <x v="2"/>
    <x v="0"/>
    <x v="0"/>
    <x v="0"/>
    <x v="4"/>
    <x v="5"/>
    <x v="1"/>
    <x v="2"/>
  </r>
  <r>
    <x v="224"/>
    <x v="13"/>
    <x v="3"/>
    <n v="33.1"/>
    <x v="217"/>
    <x v="9"/>
    <d v="2025-01-15T00:00:00"/>
    <x v="1"/>
    <x v="1"/>
    <x v="0"/>
    <x v="0"/>
    <x v="6"/>
    <x v="0"/>
    <x v="1"/>
    <x v="1"/>
  </r>
  <r>
    <x v="225"/>
    <x v="18"/>
    <x v="9"/>
    <n v="35.200000000000003"/>
    <x v="218"/>
    <x v="9"/>
    <d v="2025-01-10T00:00:00"/>
    <x v="2"/>
    <x v="1"/>
    <x v="0"/>
    <x v="0"/>
    <x v="6"/>
    <x v="7"/>
    <x v="1"/>
    <x v="2"/>
  </r>
  <r>
    <x v="226"/>
    <x v="9"/>
    <x v="2"/>
    <n v="32.1"/>
    <x v="219"/>
    <x v="9"/>
    <d v="2025-01-15T00:00:00"/>
    <x v="1"/>
    <x v="3"/>
    <x v="0"/>
    <x v="0"/>
    <x v="8"/>
    <x v="0"/>
    <x v="1"/>
    <x v="1"/>
  </r>
  <r>
    <x v="227"/>
    <x v="11"/>
    <x v="0"/>
    <n v="38.1"/>
    <x v="220"/>
    <x v="9"/>
    <d v="2025-01-15T00:00:00"/>
    <x v="2"/>
    <x v="0"/>
    <x v="2"/>
    <x v="0"/>
    <x v="8"/>
    <x v="0"/>
    <x v="1"/>
    <x v="2"/>
  </r>
  <r>
    <x v="228"/>
    <x v="8"/>
    <x v="0"/>
    <n v="65.2"/>
    <x v="221"/>
    <x v="9"/>
    <d v="2025-01-15T00:00:00"/>
    <x v="2"/>
    <x v="3"/>
    <x v="1"/>
    <x v="0"/>
    <x v="8"/>
    <x v="0"/>
    <x v="1"/>
    <x v="2"/>
  </r>
  <r>
    <x v="229"/>
    <x v="10"/>
    <x v="3"/>
    <n v="55.2"/>
    <x v="222"/>
    <x v="9"/>
    <d v="2025-01-11T00:00:00"/>
    <x v="1"/>
    <x v="2"/>
    <x v="0"/>
    <x v="0"/>
    <x v="11"/>
    <x v="3"/>
    <x v="1"/>
    <x v="1"/>
  </r>
  <r>
    <x v="230"/>
    <x v="6"/>
    <x v="0"/>
    <n v="62"/>
    <x v="85"/>
    <x v="9"/>
    <d v="2025-01-14T00:00:00"/>
    <x v="2"/>
    <x v="0"/>
    <x v="0"/>
    <x v="0"/>
    <x v="11"/>
    <x v="5"/>
    <x v="1"/>
    <x v="2"/>
  </r>
  <r>
    <x v="231"/>
    <x v="7"/>
    <x v="2"/>
    <n v="45.9"/>
    <x v="223"/>
    <x v="9"/>
    <d v="2025-01-11T00:00:00"/>
    <x v="2"/>
    <x v="2"/>
    <x v="0"/>
    <x v="0"/>
    <x v="32"/>
    <x v="3"/>
    <x v="1"/>
    <x v="2"/>
  </r>
  <r>
    <x v="232"/>
    <x v="18"/>
    <x v="2"/>
    <n v="58.3"/>
    <x v="224"/>
    <x v="9"/>
    <d v="2025-01-10T00:00:00"/>
    <x v="1"/>
    <x v="1"/>
    <x v="1"/>
    <x v="0"/>
    <x v="18"/>
    <x v="7"/>
    <x v="1"/>
    <x v="1"/>
  </r>
  <r>
    <x v="233"/>
    <x v="8"/>
    <x v="1"/>
    <n v="22.3"/>
    <x v="225"/>
    <x v="9"/>
    <d v="2025-01-13T00:00:00"/>
    <x v="2"/>
    <x v="0"/>
    <x v="2"/>
    <x v="0"/>
    <x v="20"/>
    <x v="2"/>
    <x v="1"/>
    <x v="2"/>
  </r>
  <r>
    <x v="234"/>
    <x v="19"/>
    <x v="9"/>
    <n v="24"/>
    <x v="160"/>
    <x v="9"/>
    <d v="2025-01-11T00:00:00"/>
    <x v="1"/>
    <x v="4"/>
    <x v="0"/>
    <x v="0"/>
    <x v="1"/>
    <x v="3"/>
    <x v="1"/>
    <x v="1"/>
  </r>
  <r>
    <x v="235"/>
    <x v="0"/>
    <x v="7"/>
    <n v="21.3"/>
    <x v="226"/>
    <x v="9"/>
    <d v="2025-01-10T00:00:00"/>
    <x v="2"/>
    <x v="1"/>
    <x v="2"/>
    <x v="0"/>
    <x v="22"/>
    <x v="7"/>
    <x v="1"/>
    <x v="2"/>
  </r>
  <r>
    <x v="236"/>
    <x v="6"/>
    <x v="24"/>
    <n v="57.8"/>
    <x v="227"/>
    <x v="9"/>
    <d v="2025-01-12T00:00:00"/>
    <x v="2"/>
    <x v="0"/>
    <x v="2"/>
    <x v="0"/>
    <x v="3"/>
    <x v="1"/>
    <x v="1"/>
    <x v="2"/>
  </r>
  <r>
    <x v="237"/>
    <x v="10"/>
    <x v="2"/>
    <n v="67.599999999999994"/>
    <x v="228"/>
    <x v="9"/>
    <d v="2025-01-11T00:00:00"/>
    <x v="2"/>
    <x v="0"/>
    <x v="0"/>
    <x v="0"/>
    <x v="3"/>
    <x v="3"/>
    <x v="1"/>
    <x v="2"/>
  </r>
  <r>
    <x v="238"/>
    <x v="6"/>
    <x v="13"/>
    <n v="66.7"/>
    <x v="229"/>
    <x v="9"/>
    <d v="2025-01-14T00:00:00"/>
    <x v="1"/>
    <x v="4"/>
    <x v="1"/>
    <x v="0"/>
    <x v="3"/>
    <x v="5"/>
    <x v="1"/>
    <x v="1"/>
  </r>
  <r>
    <x v="239"/>
    <x v="1"/>
    <x v="12"/>
    <n v="53.1"/>
    <x v="230"/>
    <x v="9"/>
    <d v="2025-01-12T00:00:00"/>
    <x v="2"/>
    <x v="1"/>
    <x v="0"/>
    <x v="0"/>
    <x v="3"/>
    <x v="1"/>
    <x v="1"/>
    <x v="2"/>
  </r>
  <r>
    <x v="240"/>
    <x v="12"/>
    <x v="2"/>
    <n v="57.4"/>
    <x v="231"/>
    <x v="9"/>
    <d v="2025-01-13T00:00:00"/>
    <x v="2"/>
    <x v="0"/>
    <x v="2"/>
    <x v="0"/>
    <x v="29"/>
    <x v="2"/>
    <x v="1"/>
    <x v="2"/>
  </r>
  <r>
    <x v="241"/>
    <x v="2"/>
    <x v="9"/>
    <n v="58.1"/>
    <x v="232"/>
    <x v="9"/>
    <d v="2025-01-10T00:00:00"/>
    <x v="1"/>
    <x v="2"/>
    <x v="2"/>
    <x v="0"/>
    <x v="6"/>
    <x v="7"/>
    <x v="1"/>
    <x v="1"/>
  </r>
  <r>
    <x v="242"/>
    <x v="5"/>
    <x v="2"/>
    <n v="31.8"/>
    <x v="233"/>
    <x v="10"/>
    <d v="2025-01-13T00:00:00"/>
    <x v="1"/>
    <x v="3"/>
    <x v="0"/>
    <x v="0"/>
    <x v="6"/>
    <x v="1"/>
    <x v="1"/>
    <x v="1"/>
  </r>
  <r>
    <x v="243"/>
    <x v="4"/>
    <x v="2"/>
    <n v="31.5"/>
    <x v="234"/>
    <x v="10"/>
    <d v="2025-01-14T00:00:00"/>
    <x v="1"/>
    <x v="0"/>
    <x v="1"/>
    <x v="0"/>
    <x v="8"/>
    <x v="2"/>
    <x v="1"/>
    <x v="1"/>
  </r>
  <r>
    <x v="244"/>
    <x v="6"/>
    <x v="3"/>
    <n v="55.9"/>
    <x v="235"/>
    <x v="10"/>
    <d v="2025-01-15T00:00:00"/>
    <x v="2"/>
    <x v="1"/>
    <x v="2"/>
    <x v="0"/>
    <x v="8"/>
    <x v="5"/>
    <x v="1"/>
    <x v="2"/>
  </r>
  <r>
    <x v="245"/>
    <x v="8"/>
    <x v="1"/>
    <n v="36.4"/>
    <x v="236"/>
    <x v="10"/>
    <d v="2025-01-12T00:00:00"/>
    <x v="1"/>
    <x v="1"/>
    <x v="1"/>
    <x v="0"/>
    <x v="9"/>
    <x v="3"/>
    <x v="1"/>
    <x v="1"/>
  </r>
  <r>
    <x v="246"/>
    <x v="1"/>
    <x v="9"/>
    <n v="47.3"/>
    <x v="237"/>
    <x v="10"/>
    <d v="2025-01-14T00:00:00"/>
    <x v="1"/>
    <x v="2"/>
    <x v="0"/>
    <x v="0"/>
    <x v="10"/>
    <x v="2"/>
    <x v="1"/>
    <x v="1"/>
  </r>
  <r>
    <x v="247"/>
    <x v="6"/>
    <x v="2"/>
    <n v="82.5"/>
    <x v="238"/>
    <x v="10"/>
    <d v="2025-01-12T00:00:00"/>
    <x v="1"/>
    <x v="0"/>
    <x v="0"/>
    <x v="0"/>
    <x v="11"/>
    <x v="3"/>
    <x v="1"/>
    <x v="1"/>
  </r>
  <r>
    <x v="248"/>
    <x v="0"/>
    <x v="0"/>
    <n v="14.3"/>
    <x v="239"/>
    <x v="10"/>
    <d v="2025-01-12T00:00:00"/>
    <x v="2"/>
    <x v="0"/>
    <x v="0"/>
    <x v="0"/>
    <x v="21"/>
    <x v="3"/>
    <x v="1"/>
    <x v="2"/>
  </r>
  <r>
    <x v="249"/>
    <x v="2"/>
    <x v="13"/>
    <n v="57.6"/>
    <x v="240"/>
    <x v="10"/>
    <d v="2025-01-25T00:00:00"/>
    <x v="2"/>
    <x v="0"/>
    <x v="0"/>
    <x v="0"/>
    <x v="21"/>
    <x v="12"/>
    <x v="1"/>
    <x v="2"/>
  </r>
  <r>
    <x v="250"/>
    <x v="2"/>
    <x v="2"/>
    <n v="142.4"/>
    <x v="241"/>
    <x v="10"/>
    <d v="2025-01-13T00:00:00"/>
    <x v="1"/>
    <x v="4"/>
    <x v="1"/>
    <x v="0"/>
    <x v="21"/>
    <x v="1"/>
    <x v="1"/>
    <x v="1"/>
  </r>
  <r>
    <x v="251"/>
    <x v="12"/>
    <x v="0"/>
    <n v="30.2"/>
    <x v="242"/>
    <x v="10"/>
    <d v="2025-01-15T00:00:00"/>
    <x v="1"/>
    <x v="1"/>
    <x v="2"/>
    <x v="0"/>
    <x v="2"/>
    <x v="5"/>
    <x v="1"/>
    <x v="1"/>
  </r>
  <r>
    <x v="252"/>
    <x v="18"/>
    <x v="2"/>
    <n v="65.3"/>
    <x v="243"/>
    <x v="10"/>
    <d v="2025-01-12T00:00:00"/>
    <x v="3"/>
    <x v="1"/>
    <x v="0"/>
    <x v="0"/>
    <x v="33"/>
    <x v="3"/>
    <x v="1"/>
    <x v="3"/>
  </r>
  <r>
    <x v="253"/>
    <x v="0"/>
    <x v="1"/>
    <n v="33.4"/>
    <x v="119"/>
    <x v="10"/>
    <d v="2025-01-12T00:00:00"/>
    <x v="1"/>
    <x v="1"/>
    <x v="1"/>
    <x v="0"/>
    <x v="22"/>
    <x v="3"/>
    <x v="1"/>
    <x v="1"/>
  </r>
  <r>
    <x v="254"/>
    <x v="7"/>
    <x v="1"/>
    <n v="45.1"/>
    <x v="244"/>
    <x v="10"/>
    <d v="2025-01-19T00:00:00"/>
    <x v="1"/>
    <x v="0"/>
    <x v="0"/>
    <x v="0"/>
    <x v="34"/>
    <x v="9"/>
    <x v="1"/>
    <x v="1"/>
  </r>
  <r>
    <x v="255"/>
    <x v="2"/>
    <x v="3"/>
    <n v="61.7"/>
    <x v="245"/>
    <x v="10"/>
    <d v="2025-01-13T00:00:00"/>
    <x v="2"/>
    <x v="4"/>
    <x v="0"/>
    <x v="0"/>
    <x v="3"/>
    <x v="1"/>
    <x v="1"/>
    <x v="2"/>
  </r>
  <r>
    <x v="256"/>
    <x v="9"/>
    <x v="2"/>
    <n v="45.1"/>
    <x v="246"/>
    <x v="11"/>
    <d v="2025-01-13T00:00:00"/>
    <x v="1"/>
    <x v="4"/>
    <x v="1"/>
    <x v="0"/>
    <x v="3"/>
    <x v="3"/>
    <x v="2"/>
    <x v="1"/>
  </r>
  <r>
    <x v="257"/>
    <x v="15"/>
    <x v="9"/>
    <n v="22.7"/>
    <x v="247"/>
    <x v="11"/>
    <d v="2025-01-17T00:00:00"/>
    <x v="1"/>
    <x v="0"/>
    <x v="2"/>
    <x v="0"/>
    <x v="35"/>
    <x v="0"/>
    <x v="2"/>
    <x v="1"/>
  </r>
  <r>
    <x v="258"/>
    <x v="8"/>
    <x v="0"/>
    <n v="17.600000000000001"/>
    <x v="248"/>
    <x v="11"/>
    <d v="2025-01-13T00:00:00"/>
    <x v="2"/>
    <x v="0"/>
    <x v="2"/>
    <x v="0"/>
    <x v="23"/>
    <x v="3"/>
    <x v="2"/>
    <x v="2"/>
  </r>
  <r>
    <x v="259"/>
    <x v="14"/>
    <x v="1"/>
    <n v="11.3"/>
    <x v="249"/>
    <x v="11"/>
    <d v="2025-01-15T00:00:00"/>
    <x v="2"/>
    <x v="3"/>
    <x v="2"/>
    <x v="0"/>
    <x v="23"/>
    <x v="2"/>
    <x v="2"/>
    <x v="2"/>
  </r>
  <r>
    <x v="260"/>
    <x v="6"/>
    <x v="2"/>
    <n v="53.4"/>
    <x v="250"/>
    <x v="11"/>
    <d v="2025-01-15T00:00:00"/>
    <x v="1"/>
    <x v="3"/>
    <x v="2"/>
    <x v="0"/>
    <x v="36"/>
    <x v="2"/>
    <x v="2"/>
    <x v="1"/>
  </r>
  <r>
    <x v="261"/>
    <x v="6"/>
    <x v="5"/>
    <n v="51.1"/>
    <x v="251"/>
    <x v="11"/>
    <d v="2025-01-14T00:00:00"/>
    <x v="2"/>
    <x v="2"/>
    <x v="2"/>
    <x v="0"/>
    <x v="8"/>
    <x v="1"/>
    <x v="2"/>
    <x v="2"/>
  </r>
  <r>
    <x v="262"/>
    <x v="8"/>
    <x v="1"/>
    <n v="27.5"/>
    <x v="252"/>
    <x v="11"/>
    <d v="2025-01-13T00:00:00"/>
    <x v="1"/>
    <x v="4"/>
    <x v="1"/>
    <x v="0"/>
    <x v="8"/>
    <x v="3"/>
    <x v="2"/>
    <x v="1"/>
  </r>
  <r>
    <x v="263"/>
    <x v="9"/>
    <x v="0"/>
    <n v="33.5"/>
    <x v="253"/>
    <x v="11"/>
    <d v="2025-01-14T00:00:00"/>
    <x v="2"/>
    <x v="0"/>
    <x v="4"/>
    <x v="0"/>
    <x v="8"/>
    <x v="1"/>
    <x v="2"/>
    <x v="2"/>
  </r>
  <r>
    <x v="264"/>
    <x v="4"/>
    <x v="0"/>
    <n v="59.5"/>
    <x v="254"/>
    <x v="11"/>
    <d v="2025-01-12T00:00:00"/>
    <x v="1"/>
    <x v="0"/>
    <x v="2"/>
    <x v="0"/>
    <x v="18"/>
    <x v="7"/>
    <x v="2"/>
    <x v="1"/>
  </r>
  <r>
    <x v="265"/>
    <x v="17"/>
    <x v="12"/>
    <n v="23.5"/>
    <x v="255"/>
    <x v="11"/>
    <d v="2025-01-13T00:00:00"/>
    <x v="2"/>
    <x v="3"/>
    <x v="3"/>
    <x v="0"/>
    <x v="19"/>
    <x v="3"/>
    <x v="2"/>
    <x v="2"/>
  </r>
  <r>
    <x v="266"/>
    <x v="6"/>
    <x v="0"/>
    <n v="49.7"/>
    <x v="256"/>
    <x v="11"/>
    <d v="2025-01-13T00:00:00"/>
    <x v="0"/>
    <x v="1"/>
    <x v="2"/>
    <x v="0"/>
    <x v="20"/>
    <x v="3"/>
    <x v="2"/>
    <x v="0"/>
  </r>
  <r>
    <x v="267"/>
    <x v="6"/>
    <x v="12"/>
    <n v="44.2"/>
    <x v="257"/>
    <x v="11"/>
    <d v="2025-01-15T00:00:00"/>
    <x v="2"/>
    <x v="0"/>
    <x v="2"/>
    <x v="0"/>
    <x v="21"/>
    <x v="2"/>
    <x v="2"/>
    <x v="2"/>
  </r>
  <r>
    <x v="268"/>
    <x v="8"/>
    <x v="0"/>
    <n v="22.1"/>
    <x v="258"/>
    <x v="11"/>
    <d v="2025-01-16T00:00:00"/>
    <x v="2"/>
    <x v="1"/>
    <x v="1"/>
    <x v="0"/>
    <x v="33"/>
    <x v="5"/>
    <x v="2"/>
    <x v="2"/>
  </r>
  <r>
    <x v="269"/>
    <x v="6"/>
    <x v="2"/>
    <n v="90.9"/>
    <x v="259"/>
    <x v="11"/>
    <d v="2025-01-13T00:00:00"/>
    <x v="2"/>
    <x v="2"/>
    <x v="4"/>
    <x v="0"/>
    <x v="3"/>
    <x v="3"/>
    <x v="2"/>
    <x v="2"/>
  </r>
  <r>
    <x v="270"/>
    <x v="8"/>
    <x v="2"/>
    <n v="44.5"/>
    <x v="260"/>
    <x v="11"/>
    <d v="2025-01-13T00:00:00"/>
    <x v="2"/>
    <x v="1"/>
    <x v="0"/>
    <x v="0"/>
    <x v="3"/>
    <x v="3"/>
    <x v="2"/>
    <x v="2"/>
  </r>
  <r>
    <x v="271"/>
    <x v="9"/>
    <x v="13"/>
    <n v="32.299999999999997"/>
    <x v="261"/>
    <x v="11"/>
    <d v="2025-01-16T00:00:00"/>
    <x v="2"/>
    <x v="0"/>
    <x v="0"/>
    <x v="0"/>
    <x v="3"/>
    <x v="5"/>
    <x v="2"/>
    <x v="2"/>
  </r>
  <r>
    <x v="272"/>
    <x v="17"/>
    <x v="2"/>
    <n v="87.5"/>
    <x v="175"/>
    <x v="11"/>
    <d v="2025-01-13T00:00:00"/>
    <x v="2"/>
    <x v="1"/>
    <x v="1"/>
    <x v="0"/>
    <x v="3"/>
    <x v="3"/>
    <x v="2"/>
    <x v="2"/>
  </r>
  <r>
    <x v="273"/>
    <x v="16"/>
    <x v="9"/>
    <n v="48.7"/>
    <x v="262"/>
    <x v="11"/>
    <d v="2025-01-13T00:00:00"/>
    <x v="1"/>
    <x v="2"/>
    <x v="0"/>
    <x v="0"/>
    <x v="3"/>
    <x v="3"/>
    <x v="2"/>
    <x v="1"/>
  </r>
  <r>
    <x v="274"/>
    <x v="0"/>
    <x v="9"/>
    <n v="22.5"/>
    <x v="158"/>
    <x v="11"/>
    <d v="2025-01-13T00:00:00"/>
    <x v="1"/>
    <x v="0"/>
    <x v="0"/>
    <x v="0"/>
    <x v="3"/>
    <x v="3"/>
    <x v="2"/>
    <x v="1"/>
  </r>
  <r>
    <x v="275"/>
    <x v="1"/>
    <x v="8"/>
    <n v="65.900000000000006"/>
    <x v="263"/>
    <x v="11"/>
    <d v="2025-01-15T00:00:00"/>
    <x v="2"/>
    <x v="1"/>
    <x v="2"/>
    <x v="0"/>
    <x v="3"/>
    <x v="2"/>
    <x v="2"/>
    <x v="2"/>
  </r>
  <r>
    <x v="276"/>
    <x v="6"/>
    <x v="9"/>
    <n v="41.9"/>
    <x v="264"/>
    <x v="11"/>
    <d v="2025-01-19T00:00:00"/>
    <x v="0"/>
    <x v="0"/>
    <x v="0"/>
    <x v="0"/>
    <x v="3"/>
    <x v="6"/>
    <x v="2"/>
    <x v="0"/>
  </r>
  <r>
    <x v="277"/>
    <x v="1"/>
    <x v="9"/>
    <n v="67.5"/>
    <x v="265"/>
    <x v="11"/>
    <d v="2025-01-13T00:00:00"/>
    <x v="2"/>
    <x v="0"/>
    <x v="2"/>
    <x v="0"/>
    <x v="3"/>
    <x v="3"/>
    <x v="2"/>
    <x v="2"/>
  </r>
  <r>
    <x v="278"/>
    <x v="9"/>
    <x v="0"/>
    <n v="60.4"/>
    <x v="266"/>
    <x v="12"/>
    <d v="2025-01-15T00:00:00"/>
    <x v="2"/>
    <x v="1"/>
    <x v="1"/>
    <x v="0"/>
    <x v="3"/>
    <x v="1"/>
    <x v="2"/>
    <x v="2"/>
  </r>
  <r>
    <x v="279"/>
    <x v="1"/>
    <x v="3"/>
    <n v="30.4"/>
    <x v="267"/>
    <x v="12"/>
    <d v="2025-01-16T00:00:00"/>
    <x v="2"/>
    <x v="4"/>
    <x v="0"/>
    <x v="0"/>
    <x v="3"/>
    <x v="2"/>
    <x v="2"/>
    <x v="2"/>
  </r>
  <r>
    <x v="280"/>
    <x v="14"/>
    <x v="1"/>
    <n v="24.5"/>
    <x v="268"/>
    <x v="12"/>
    <d v="2025-01-14T00:00:00"/>
    <x v="1"/>
    <x v="3"/>
    <x v="2"/>
    <x v="0"/>
    <x v="3"/>
    <x v="3"/>
    <x v="2"/>
    <x v="1"/>
  </r>
  <r>
    <x v="281"/>
    <x v="2"/>
    <x v="2"/>
    <n v="105.9"/>
    <x v="269"/>
    <x v="12"/>
    <d v="2025-01-18T00:00:00"/>
    <x v="1"/>
    <x v="0"/>
    <x v="0"/>
    <x v="0"/>
    <x v="37"/>
    <x v="0"/>
    <x v="2"/>
    <x v="1"/>
  </r>
  <r>
    <x v="282"/>
    <x v="10"/>
    <x v="25"/>
    <n v="25.9"/>
    <x v="270"/>
    <x v="12"/>
    <d v="2025-01-14T00:00:00"/>
    <x v="2"/>
    <x v="4"/>
    <x v="0"/>
    <x v="0"/>
    <x v="23"/>
    <x v="3"/>
    <x v="2"/>
    <x v="2"/>
  </r>
  <r>
    <x v="283"/>
    <x v="6"/>
    <x v="2"/>
    <n v="66.8"/>
    <x v="271"/>
    <x v="12"/>
    <d v="2025-01-13T00:00:00"/>
    <x v="1"/>
    <x v="0"/>
    <x v="0"/>
    <x v="0"/>
    <x v="23"/>
    <x v="7"/>
    <x v="2"/>
    <x v="1"/>
  </r>
  <r>
    <x v="284"/>
    <x v="6"/>
    <x v="2"/>
    <n v="112.3"/>
    <x v="272"/>
    <x v="12"/>
    <d v="2025-01-14T00:00:00"/>
    <x v="1"/>
    <x v="2"/>
    <x v="4"/>
    <x v="0"/>
    <x v="6"/>
    <x v="3"/>
    <x v="2"/>
    <x v="1"/>
  </r>
  <r>
    <x v="285"/>
    <x v="1"/>
    <x v="13"/>
    <n v="94.1"/>
    <x v="273"/>
    <x v="12"/>
    <d v="2025-01-14T00:00:00"/>
    <x v="2"/>
    <x v="0"/>
    <x v="4"/>
    <x v="0"/>
    <x v="6"/>
    <x v="3"/>
    <x v="2"/>
    <x v="2"/>
  </r>
  <r>
    <x v="286"/>
    <x v="5"/>
    <x v="0"/>
    <n v="40.700000000000003"/>
    <x v="274"/>
    <x v="12"/>
    <d v="2025-01-16T00:00:00"/>
    <x v="2"/>
    <x v="2"/>
    <x v="0"/>
    <x v="0"/>
    <x v="6"/>
    <x v="2"/>
    <x v="2"/>
    <x v="2"/>
  </r>
  <r>
    <x v="287"/>
    <x v="3"/>
    <x v="1"/>
    <n v="71.400000000000006"/>
    <x v="275"/>
    <x v="12"/>
    <d v="2025-01-14T00:00:00"/>
    <x v="1"/>
    <x v="0"/>
    <x v="0"/>
    <x v="0"/>
    <x v="7"/>
    <x v="3"/>
    <x v="2"/>
    <x v="1"/>
  </r>
  <r>
    <x v="288"/>
    <x v="0"/>
    <x v="16"/>
    <n v="15.6"/>
    <x v="276"/>
    <x v="12"/>
    <d v="2025-01-14T00:00:00"/>
    <x v="1"/>
    <x v="1"/>
    <x v="3"/>
    <x v="0"/>
    <x v="8"/>
    <x v="3"/>
    <x v="2"/>
    <x v="1"/>
  </r>
  <r>
    <x v="289"/>
    <x v="10"/>
    <x v="12"/>
    <n v="37.799999999999997"/>
    <x v="277"/>
    <x v="12"/>
    <d v="2025-01-14T00:00:00"/>
    <x v="1"/>
    <x v="2"/>
    <x v="2"/>
    <x v="0"/>
    <x v="8"/>
    <x v="3"/>
    <x v="2"/>
    <x v="1"/>
  </r>
  <r>
    <x v="290"/>
    <x v="4"/>
    <x v="2"/>
    <n v="28.1"/>
    <x v="278"/>
    <x v="12"/>
    <d v="2025-01-17T00:00:00"/>
    <x v="1"/>
    <x v="0"/>
    <x v="0"/>
    <x v="0"/>
    <x v="8"/>
    <x v="5"/>
    <x v="2"/>
    <x v="1"/>
  </r>
  <r>
    <x v="291"/>
    <x v="7"/>
    <x v="13"/>
    <n v="51.4"/>
    <x v="279"/>
    <x v="12"/>
    <d v="2025-01-17T00:00:00"/>
    <x v="1"/>
    <x v="0"/>
    <x v="0"/>
    <x v="0"/>
    <x v="8"/>
    <x v="5"/>
    <x v="2"/>
    <x v="1"/>
  </r>
  <r>
    <x v="292"/>
    <x v="7"/>
    <x v="1"/>
    <n v="97.7"/>
    <x v="280"/>
    <x v="12"/>
    <d v="2025-01-15T00:00:00"/>
    <x v="2"/>
    <x v="4"/>
    <x v="2"/>
    <x v="0"/>
    <x v="17"/>
    <x v="1"/>
    <x v="2"/>
    <x v="2"/>
  </r>
  <r>
    <x v="293"/>
    <x v="1"/>
    <x v="12"/>
    <n v="63.8"/>
    <x v="281"/>
    <x v="12"/>
    <d v="2025-01-14T00:00:00"/>
    <x v="1"/>
    <x v="2"/>
    <x v="0"/>
    <x v="0"/>
    <x v="38"/>
    <x v="3"/>
    <x v="2"/>
    <x v="1"/>
  </r>
  <r>
    <x v="294"/>
    <x v="13"/>
    <x v="1"/>
    <n v="20.100000000000001"/>
    <x v="282"/>
    <x v="12"/>
    <d v="2025-01-15T00:00:00"/>
    <x v="1"/>
    <x v="0"/>
    <x v="2"/>
    <x v="0"/>
    <x v="20"/>
    <x v="1"/>
    <x v="2"/>
    <x v="1"/>
  </r>
  <r>
    <x v="295"/>
    <x v="11"/>
    <x v="2"/>
    <n v="50.4"/>
    <x v="277"/>
    <x v="12"/>
    <d v="2025-01-16T00:00:00"/>
    <x v="2"/>
    <x v="3"/>
    <x v="0"/>
    <x v="0"/>
    <x v="13"/>
    <x v="2"/>
    <x v="2"/>
    <x v="2"/>
  </r>
  <r>
    <x v="296"/>
    <x v="0"/>
    <x v="0"/>
    <n v="16.2"/>
    <x v="283"/>
    <x v="12"/>
    <d v="2025-01-26T00:00:00"/>
    <x v="2"/>
    <x v="1"/>
    <x v="0"/>
    <x v="0"/>
    <x v="1"/>
    <x v="10"/>
    <x v="2"/>
    <x v="2"/>
  </r>
  <r>
    <x v="297"/>
    <x v="6"/>
    <x v="3"/>
    <n v="80.900000000000006"/>
    <x v="284"/>
    <x v="12"/>
    <d v="2025-01-15T00:00:00"/>
    <x v="1"/>
    <x v="4"/>
    <x v="4"/>
    <x v="0"/>
    <x v="2"/>
    <x v="1"/>
    <x v="2"/>
    <x v="1"/>
  </r>
  <r>
    <x v="298"/>
    <x v="9"/>
    <x v="13"/>
    <n v="95.2"/>
    <x v="285"/>
    <x v="12"/>
    <d v="2025-01-15T00:00:00"/>
    <x v="2"/>
    <x v="0"/>
    <x v="2"/>
    <x v="0"/>
    <x v="2"/>
    <x v="1"/>
    <x v="2"/>
    <x v="2"/>
  </r>
  <r>
    <x v="299"/>
    <x v="5"/>
    <x v="8"/>
    <n v="70.400000000000006"/>
    <x v="286"/>
    <x v="12"/>
    <d v="2025-01-14T00:00:00"/>
    <x v="1"/>
    <x v="1"/>
    <x v="1"/>
    <x v="0"/>
    <x v="3"/>
    <x v="3"/>
    <x v="2"/>
    <x v="1"/>
  </r>
  <r>
    <x v="300"/>
    <x v="0"/>
    <x v="9"/>
    <n v="10.7"/>
    <x v="287"/>
    <x v="12"/>
    <d v="2025-01-17T00:00:00"/>
    <x v="2"/>
    <x v="2"/>
    <x v="0"/>
    <x v="0"/>
    <x v="3"/>
    <x v="5"/>
    <x v="2"/>
    <x v="2"/>
  </r>
  <r>
    <x v="301"/>
    <x v="8"/>
    <x v="9"/>
    <n v="19.600000000000001"/>
    <x v="11"/>
    <x v="12"/>
    <d v="2025-01-15T00:00:00"/>
    <x v="2"/>
    <x v="0"/>
    <x v="3"/>
    <x v="0"/>
    <x v="3"/>
    <x v="1"/>
    <x v="2"/>
    <x v="2"/>
  </r>
  <r>
    <x v="302"/>
    <x v="8"/>
    <x v="5"/>
    <n v="34.700000000000003"/>
    <x v="288"/>
    <x v="12"/>
    <d v="2025-01-15T00:00:00"/>
    <x v="2"/>
    <x v="0"/>
    <x v="2"/>
    <x v="0"/>
    <x v="3"/>
    <x v="1"/>
    <x v="2"/>
    <x v="2"/>
  </r>
  <r>
    <x v="303"/>
    <x v="10"/>
    <x v="11"/>
    <n v="34.1"/>
    <x v="289"/>
    <x v="12"/>
    <d v="2025-01-14T00:00:00"/>
    <x v="2"/>
    <x v="4"/>
    <x v="1"/>
    <x v="0"/>
    <x v="3"/>
    <x v="3"/>
    <x v="2"/>
    <x v="2"/>
  </r>
  <r>
    <x v="304"/>
    <x v="0"/>
    <x v="26"/>
    <n v="29.3"/>
    <x v="290"/>
    <x v="12"/>
    <d v="2025-01-13T00:00:00"/>
    <x v="1"/>
    <x v="0"/>
    <x v="1"/>
    <x v="0"/>
    <x v="3"/>
    <x v="7"/>
    <x v="2"/>
    <x v="1"/>
  </r>
  <r>
    <x v="305"/>
    <x v="1"/>
    <x v="0"/>
    <n v="55.2"/>
    <x v="291"/>
    <x v="12"/>
    <d v="2025-01-14T00:00:00"/>
    <x v="2"/>
    <x v="0"/>
    <x v="1"/>
    <x v="0"/>
    <x v="3"/>
    <x v="3"/>
    <x v="2"/>
    <x v="2"/>
  </r>
  <r>
    <x v="306"/>
    <x v="18"/>
    <x v="2"/>
    <n v="26"/>
    <x v="292"/>
    <x v="12"/>
    <d v="2025-01-16T00:00:00"/>
    <x v="2"/>
    <x v="0"/>
    <x v="2"/>
    <x v="0"/>
    <x v="3"/>
    <x v="2"/>
    <x v="2"/>
    <x v="2"/>
  </r>
  <r>
    <x v="307"/>
    <x v="14"/>
    <x v="1"/>
    <n v="14.2"/>
    <x v="293"/>
    <x v="12"/>
    <d v="2025-01-18T00:00:00"/>
    <x v="2"/>
    <x v="3"/>
    <x v="0"/>
    <x v="0"/>
    <x v="39"/>
    <x v="0"/>
    <x v="2"/>
    <x v="2"/>
  </r>
  <r>
    <x v="308"/>
    <x v="8"/>
    <x v="11"/>
    <n v="22.7"/>
    <x v="294"/>
    <x v="13"/>
    <d v="2025-01-15T00:00:00"/>
    <x v="1"/>
    <x v="1"/>
    <x v="0"/>
    <x v="0"/>
    <x v="6"/>
    <x v="3"/>
    <x v="2"/>
    <x v="1"/>
  </r>
  <r>
    <x v="309"/>
    <x v="0"/>
    <x v="20"/>
    <n v="19.8"/>
    <x v="295"/>
    <x v="13"/>
    <d v="2025-01-14T00:00:00"/>
    <x v="2"/>
    <x v="0"/>
    <x v="2"/>
    <x v="0"/>
    <x v="6"/>
    <x v="7"/>
    <x v="2"/>
    <x v="2"/>
  </r>
  <r>
    <x v="310"/>
    <x v="0"/>
    <x v="2"/>
    <n v="31.7"/>
    <x v="296"/>
    <x v="13"/>
    <d v="2025-01-15T00:00:00"/>
    <x v="1"/>
    <x v="2"/>
    <x v="0"/>
    <x v="0"/>
    <x v="6"/>
    <x v="3"/>
    <x v="2"/>
    <x v="1"/>
  </r>
  <r>
    <x v="311"/>
    <x v="8"/>
    <x v="12"/>
    <n v="30.4"/>
    <x v="297"/>
    <x v="13"/>
    <d v="2025-01-18T00:00:00"/>
    <x v="1"/>
    <x v="0"/>
    <x v="0"/>
    <x v="0"/>
    <x v="6"/>
    <x v="5"/>
    <x v="2"/>
    <x v="1"/>
  </r>
  <r>
    <x v="312"/>
    <x v="0"/>
    <x v="12"/>
    <n v="25.6"/>
    <x v="298"/>
    <x v="13"/>
    <d v="2025-01-15T00:00:00"/>
    <x v="1"/>
    <x v="3"/>
    <x v="0"/>
    <x v="0"/>
    <x v="8"/>
    <x v="3"/>
    <x v="2"/>
    <x v="1"/>
  </r>
  <r>
    <x v="313"/>
    <x v="5"/>
    <x v="1"/>
    <n v="34.9"/>
    <x v="299"/>
    <x v="13"/>
    <d v="2025-01-15T00:00:00"/>
    <x v="2"/>
    <x v="2"/>
    <x v="0"/>
    <x v="0"/>
    <x v="9"/>
    <x v="3"/>
    <x v="2"/>
    <x v="2"/>
  </r>
  <r>
    <x v="314"/>
    <x v="7"/>
    <x v="13"/>
    <n v="42.7"/>
    <x v="300"/>
    <x v="13"/>
    <d v="2025-01-17T00:00:00"/>
    <x v="1"/>
    <x v="2"/>
    <x v="1"/>
    <x v="0"/>
    <x v="11"/>
    <x v="2"/>
    <x v="2"/>
    <x v="1"/>
  </r>
  <r>
    <x v="315"/>
    <x v="8"/>
    <x v="0"/>
    <n v="23.9"/>
    <x v="301"/>
    <x v="13"/>
    <d v="2025-01-16T00:00:00"/>
    <x v="2"/>
    <x v="3"/>
    <x v="0"/>
    <x v="0"/>
    <x v="11"/>
    <x v="1"/>
    <x v="2"/>
    <x v="2"/>
  </r>
  <r>
    <x v="316"/>
    <x v="6"/>
    <x v="0"/>
    <n v="124.3"/>
    <x v="302"/>
    <x v="13"/>
    <d v="2025-01-15T00:00:00"/>
    <x v="0"/>
    <x v="2"/>
    <x v="1"/>
    <x v="0"/>
    <x v="21"/>
    <x v="3"/>
    <x v="2"/>
    <x v="0"/>
  </r>
  <r>
    <x v="317"/>
    <x v="8"/>
    <x v="13"/>
    <n v="35.9"/>
    <x v="303"/>
    <x v="13"/>
    <d v="2025-01-15T00:00:00"/>
    <x v="2"/>
    <x v="0"/>
    <x v="1"/>
    <x v="0"/>
    <x v="1"/>
    <x v="3"/>
    <x v="2"/>
    <x v="2"/>
  </r>
  <r>
    <x v="318"/>
    <x v="2"/>
    <x v="1"/>
    <n v="69.099999999999994"/>
    <x v="304"/>
    <x v="13"/>
    <d v="2025-01-17T00:00:00"/>
    <x v="2"/>
    <x v="0"/>
    <x v="2"/>
    <x v="0"/>
    <x v="22"/>
    <x v="2"/>
    <x v="2"/>
    <x v="2"/>
  </r>
  <r>
    <x v="319"/>
    <x v="7"/>
    <x v="0"/>
    <n v="58.4"/>
    <x v="305"/>
    <x v="13"/>
    <d v="2025-01-18T00:00:00"/>
    <x v="1"/>
    <x v="0"/>
    <x v="0"/>
    <x v="0"/>
    <x v="22"/>
    <x v="5"/>
    <x v="2"/>
    <x v="1"/>
  </r>
  <r>
    <x v="320"/>
    <x v="5"/>
    <x v="0"/>
    <n v="65.2"/>
    <x v="221"/>
    <x v="13"/>
    <d v="2025-01-16T00:00:00"/>
    <x v="3"/>
    <x v="4"/>
    <x v="4"/>
    <x v="0"/>
    <x v="3"/>
    <x v="1"/>
    <x v="2"/>
    <x v="3"/>
  </r>
  <r>
    <x v="321"/>
    <x v="8"/>
    <x v="14"/>
    <n v="32.700000000000003"/>
    <x v="306"/>
    <x v="13"/>
    <d v="2025-01-21T00:00:00"/>
    <x v="0"/>
    <x v="4"/>
    <x v="0"/>
    <x v="0"/>
    <x v="3"/>
    <x v="6"/>
    <x v="2"/>
    <x v="0"/>
  </r>
  <r>
    <x v="322"/>
    <x v="10"/>
    <x v="3"/>
    <n v="24.4"/>
    <x v="307"/>
    <x v="13"/>
    <d v="2025-01-15T00:00:00"/>
    <x v="2"/>
    <x v="0"/>
    <x v="0"/>
    <x v="0"/>
    <x v="3"/>
    <x v="3"/>
    <x v="2"/>
    <x v="2"/>
  </r>
  <r>
    <x v="323"/>
    <x v="14"/>
    <x v="1"/>
    <n v="50.4"/>
    <x v="90"/>
    <x v="13"/>
    <d v="2025-01-20T00:00:00"/>
    <x v="1"/>
    <x v="0"/>
    <x v="1"/>
    <x v="0"/>
    <x v="3"/>
    <x v="4"/>
    <x v="2"/>
    <x v="1"/>
  </r>
  <r>
    <x v="324"/>
    <x v="1"/>
    <x v="1"/>
    <n v="100"/>
    <x v="308"/>
    <x v="13"/>
    <d v="2025-01-15T00:00:00"/>
    <x v="2"/>
    <x v="0"/>
    <x v="0"/>
    <x v="0"/>
    <x v="3"/>
    <x v="3"/>
    <x v="2"/>
    <x v="2"/>
  </r>
  <r>
    <x v="325"/>
    <x v="10"/>
    <x v="2"/>
    <n v="43"/>
    <x v="309"/>
    <x v="14"/>
    <d v="2025-01-15T00:00:00"/>
    <x v="2"/>
    <x v="2"/>
    <x v="1"/>
    <x v="0"/>
    <x v="3"/>
    <x v="7"/>
    <x v="2"/>
    <x v="2"/>
  </r>
  <r>
    <x v="326"/>
    <x v="1"/>
    <x v="9"/>
    <n v="64.400000000000006"/>
    <x v="310"/>
    <x v="14"/>
    <d v="2025-01-17T00:00:00"/>
    <x v="1"/>
    <x v="2"/>
    <x v="1"/>
    <x v="0"/>
    <x v="3"/>
    <x v="1"/>
    <x v="2"/>
    <x v="1"/>
  </r>
  <r>
    <x v="327"/>
    <x v="18"/>
    <x v="1"/>
    <n v="57.4"/>
    <x v="311"/>
    <x v="14"/>
    <d v="2025-01-16T00:00:00"/>
    <x v="1"/>
    <x v="2"/>
    <x v="1"/>
    <x v="0"/>
    <x v="3"/>
    <x v="3"/>
    <x v="2"/>
    <x v="1"/>
  </r>
  <r>
    <x v="328"/>
    <x v="2"/>
    <x v="2"/>
    <n v="55.1"/>
    <x v="312"/>
    <x v="14"/>
    <d v="2025-01-18T00:00:00"/>
    <x v="2"/>
    <x v="1"/>
    <x v="0"/>
    <x v="0"/>
    <x v="3"/>
    <x v="2"/>
    <x v="2"/>
    <x v="2"/>
  </r>
  <r>
    <x v="329"/>
    <x v="7"/>
    <x v="12"/>
    <n v="45.4"/>
    <x v="106"/>
    <x v="14"/>
    <d v="2025-01-16T00:00:00"/>
    <x v="2"/>
    <x v="1"/>
    <x v="0"/>
    <x v="0"/>
    <x v="3"/>
    <x v="3"/>
    <x v="2"/>
    <x v="2"/>
  </r>
  <r>
    <x v="330"/>
    <x v="3"/>
    <x v="2"/>
    <n v="93.3"/>
    <x v="313"/>
    <x v="14"/>
    <d v="2025-01-16T00:00:00"/>
    <x v="2"/>
    <x v="0"/>
    <x v="0"/>
    <x v="0"/>
    <x v="40"/>
    <x v="3"/>
    <x v="2"/>
    <x v="2"/>
  </r>
  <r>
    <x v="331"/>
    <x v="2"/>
    <x v="10"/>
    <n v="158.19999999999999"/>
    <x v="314"/>
    <x v="14"/>
    <d v="2025-01-16T00:00:00"/>
    <x v="2"/>
    <x v="1"/>
    <x v="2"/>
    <x v="0"/>
    <x v="16"/>
    <x v="3"/>
    <x v="2"/>
    <x v="2"/>
  </r>
  <r>
    <x v="332"/>
    <x v="2"/>
    <x v="1"/>
    <n v="74.900000000000006"/>
    <x v="315"/>
    <x v="14"/>
    <d v="2025-01-17T00:00:00"/>
    <x v="1"/>
    <x v="3"/>
    <x v="0"/>
    <x v="0"/>
    <x v="6"/>
    <x v="1"/>
    <x v="2"/>
    <x v="1"/>
  </r>
  <r>
    <x v="333"/>
    <x v="8"/>
    <x v="3"/>
    <n v="26"/>
    <x v="316"/>
    <x v="14"/>
    <d v="2025-01-18T00:00:00"/>
    <x v="2"/>
    <x v="1"/>
    <x v="0"/>
    <x v="0"/>
    <x v="8"/>
    <x v="2"/>
    <x v="2"/>
    <x v="2"/>
  </r>
  <r>
    <x v="334"/>
    <x v="9"/>
    <x v="13"/>
    <n v="37.5"/>
    <x v="317"/>
    <x v="14"/>
    <d v="2025-01-16T00:00:00"/>
    <x v="2"/>
    <x v="0"/>
    <x v="1"/>
    <x v="0"/>
    <x v="8"/>
    <x v="3"/>
    <x v="2"/>
    <x v="2"/>
  </r>
  <r>
    <x v="335"/>
    <x v="6"/>
    <x v="1"/>
    <n v="75.8"/>
    <x v="318"/>
    <x v="14"/>
    <d v="2025-01-21T00:00:00"/>
    <x v="1"/>
    <x v="0"/>
    <x v="0"/>
    <x v="0"/>
    <x v="8"/>
    <x v="4"/>
    <x v="2"/>
    <x v="1"/>
  </r>
  <r>
    <x v="336"/>
    <x v="7"/>
    <x v="0"/>
    <n v="48.5"/>
    <x v="319"/>
    <x v="14"/>
    <d v="2025-01-27T00:00:00"/>
    <x v="0"/>
    <x v="4"/>
    <x v="2"/>
    <x v="0"/>
    <x v="8"/>
    <x v="13"/>
    <x v="2"/>
    <x v="0"/>
  </r>
  <r>
    <x v="337"/>
    <x v="6"/>
    <x v="2"/>
    <n v="98.9"/>
    <x v="320"/>
    <x v="14"/>
    <d v="2025-01-17T00:00:00"/>
    <x v="2"/>
    <x v="4"/>
    <x v="1"/>
    <x v="0"/>
    <x v="8"/>
    <x v="1"/>
    <x v="2"/>
    <x v="2"/>
  </r>
  <r>
    <x v="338"/>
    <x v="1"/>
    <x v="4"/>
    <n v="50.9"/>
    <x v="321"/>
    <x v="14"/>
    <d v="2025-01-15T00:00:00"/>
    <x v="1"/>
    <x v="4"/>
    <x v="0"/>
    <x v="0"/>
    <x v="8"/>
    <x v="7"/>
    <x v="2"/>
    <x v="1"/>
  </r>
  <r>
    <x v="339"/>
    <x v="12"/>
    <x v="13"/>
    <n v="84.7"/>
    <x v="322"/>
    <x v="14"/>
    <d v="2025-01-15T00:00:00"/>
    <x v="2"/>
    <x v="2"/>
    <x v="0"/>
    <x v="0"/>
    <x v="8"/>
    <x v="7"/>
    <x v="2"/>
    <x v="2"/>
  </r>
  <r>
    <x v="340"/>
    <x v="8"/>
    <x v="0"/>
    <n v="20.7"/>
    <x v="323"/>
    <x v="14"/>
    <d v="2025-01-17T00:00:00"/>
    <x v="2"/>
    <x v="3"/>
    <x v="2"/>
    <x v="0"/>
    <x v="8"/>
    <x v="1"/>
    <x v="2"/>
    <x v="2"/>
  </r>
  <r>
    <x v="341"/>
    <x v="12"/>
    <x v="11"/>
    <n v="57.8"/>
    <x v="324"/>
    <x v="14"/>
    <d v="2025-01-26T00:00:00"/>
    <x v="1"/>
    <x v="0"/>
    <x v="4"/>
    <x v="0"/>
    <x v="17"/>
    <x v="11"/>
    <x v="2"/>
    <x v="1"/>
  </r>
  <r>
    <x v="342"/>
    <x v="2"/>
    <x v="1"/>
    <n v="106.9"/>
    <x v="325"/>
    <x v="14"/>
    <d v="2025-01-17T00:00:00"/>
    <x v="2"/>
    <x v="0"/>
    <x v="2"/>
    <x v="0"/>
    <x v="41"/>
    <x v="1"/>
    <x v="2"/>
    <x v="2"/>
  </r>
  <r>
    <x v="343"/>
    <x v="3"/>
    <x v="9"/>
    <n v="45.2"/>
    <x v="326"/>
    <x v="14"/>
    <d v="2025-01-19T00:00:00"/>
    <x v="2"/>
    <x v="1"/>
    <x v="0"/>
    <x v="0"/>
    <x v="21"/>
    <x v="5"/>
    <x v="2"/>
    <x v="2"/>
  </r>
  <r>
    <x v="344"/>
    <x v="8"/>
    <x v="15"/>
    <n v="34.6"/>
    <x v="327"/>
    <x v="14"/>
    <d v="2025-01-15T00:00:00"/>
    <x v="2"/>
    <x v="1"/>
    <x v="1"/>
    <x v="0"/>
    <x v="21"/>
    <x v="7"/>
    <x v="2"/>
    <x v="2"/>
  </r>
  <r>
    <x v="345"/>
    <x v="15"/>
    <x v="0"/>
    <n v="43.8"/>
    <x v="328"/>
    <x v="14"/>
    <d v="2025-01-17T00:00:00"/>
    <x v="0"/>
    <x v="0"/>
    <x v="2"/>
    <x v="0"/>
    <x v="21"/>
    <x v="1"/>
    <x v="2"/>
    <x v="0"/>
  </r>
  <r>
    <x v="346"/>
    <x v="15"/>
    <x v="0"/>
    <n v="20.399999999999999"/>
    <x v="190"/>
    <x v="14"/>
    <d v="2025-01-17T00:00:00"/>
    <x v="1"/>
    <x v="4"/>
    <x v="1"/>
    <x v="0"/>
    <x v="21"/>
    <x v="1"/>
    <x v="2"/>
    <x v="1"/>
  </r>
  <r>
    <x v="347"/>
    <x v="1"/>
    <x v="0"/>
    <n v="36.700000000000003"/>
    <x v="329"/>
    <x v="14"/>
    <d v="2025-01-16T00:00:00"/>
    <x v="1"/>
    <x v="0"/>
    <x v="1"/>
    <x v="0"/>
    <x v="1"/>
    <x v="3"/>
    <x v="2"/>
    <x v="1"/>
  </r>
  <r>
    <x v="348"/>
    <x v="8"/>
    <x v="2"/>
    <n v="27.2"/>
    <x v="330"/>
    <x v="14"/>
    <d v="2025-01-19T00:00:00"/>
    <x v="1"/>
    <x v="0"/>
    <x v="2"/>
    <x v="0"/>
    <x v="1"/>
    <x v="5"/>
    <x v="2"/>
    <x v="1"/>
  </r>
  <r>
    <x v="349"/>
    <x v="6"/>
    <x v="0"/>
    <n v="58.2"/>
    <x v="331"/>
    <x v="14"/>
    <d v="2025-01-16T00:00:00"/>
    <x v="2"/>
    <x v="0"/>
    <x v="2"/>
    <x v="0"/>
    <x v="42"/>
    <x v="3"/>
    <x v="2"/>
    <x v="2"/>
  </r>
  <r>
    <x v="350"/>
    <x v="8"/>
    <x v="2"/>
    <n v="25.6"/>
    <x v="332"/>
    <x v="14"/>
    <d v="2025-01-16T00:00:00"/>
    <x v="1"/>
    <x v="4"/>
    <x v="4"/>
    <x v="0"/>
    <x v="2"/>
    <x v="3"/>
    <x v="2"/>
    <x v="1"/>
  </r>
  <r>
    <x v="351"/>
    <x v="10"/>
    <x v="0"/>
    <n v="21.2"/>
    <x v="333"/>
    <x v="14"/>
    <d v="2025-01-15T00:00:00"/>
    <x v="2"/>
    <x v="1"/>
    <x v="2"/>
    <x v="0"/>
    <x v="3"/>
    <x v="7"/>
    <x v="2"/>
    <x v="2"/>
  </r>
  <r>
    <x v="352"/>
    <x v="6"/>
    <x v="1"/>
    <n v="48.2"/>
    <x v="334"/>
    <x v="14"/>
    <d v="2025-01-23T00:00:00"/>
    <x v="2"/>
    <x v="0"/>
    <x v="2"/>
    <x v="0"/>
    <x v="3"/>
    <x v="9"/>
    <x v="2"/>
    <x v="2"/>
  </r>
  <r>
    <x v="353"/>
    <x v="1"/>
    <x v="12"/>
    <n v="83.4"/>
    <x v="335"/>
    <x v="15"/>
    <d v="2025-01-17T00:00:00"/>
    <x v="1"/>
    <x v="0"/>
    <x v="0"/>
    <x v="0"/>
    <x v="3"/>
    <x v="3"/>
    <x v="2"/>
    <x v="1"/>
  </r>
  <r>
    <x v="354"/>
    <x v="9"/>
    <x v="2"/>
    <n v="45.3"/>
    <x v="336"/>
    <x v="15"/>
    <d v="2025-01-22T00:00:00"/>
    <x v="1"/>
    <x v="2"/>
    <x v="1"/>
    <x v="0"/>
    <x v="3"/>
    <x v="4"/>
    <x v="2"/>
    <x v="1"/>
  </r>
  <r>
    <x v="355"/>
    <x v="17"/>
    <x v="0"/>
    <n v="42"/>
    <x v="337"/>
    <x v="15"/>
    <d v="2025-01-17T00:00:00"/>
    <x v="0"/>
    <x v="0"/>
    <x v="0"/>
    <x v="0"/>
    <x v="3"/>
    <x v="3"/>
    <x v="2"/>
    <x v="0"/>
  </r>
  <r>
    <x v="356"/>
    <x v="0"/>
    <x v="11"/>
    <n v="21.8"/>
    <x v="338"/>
    <x v="15"/>
    <d v="2025-01-18T00:00:00"/>
    <x v="2"/>
    <x v="1"/>
    <x v="0"/>
    <x v="0"/>
    <x v="3"/>
    <x v="1"/>
    <x v="2"/>
    <x v="2"/>
  </r>
  <r>
    <x v="357"/>
    <x v="8"/>
    <x v="16"/>
    <n v="21.4"/>
    <x v="339"/>
    <x v="15"/>
    <d v="2025-01-19T00:00:00"/>
    <x v="2"/>
    <x v="1"/>
    <x v="2"/>
    <x v="0"/>
    <x v="3"/>
    <x v="2"/>
    <x v="2"/>
    <x v="2"/>
  </r>
  <r>
    <x v="358"/>
    <x v="10"/>
    <x v="2"/>
    <n v="45"/>
    <x v="340"/>
    <x v="15"/>
    <d v="2025-01-16T00:00:00"/>
    <x v="2"/>
    <x v="1"/>
    <x v="2"/>
    <x v="0"/>
    <x v="3"/>
    <x v="7"/>
    <x v="2"/>
    <x v="2"/>
  </r>
  <r>
    <x v="359"/>
    <x v="14"/>
    <x v="0"/>
    <n v="39.6"/>
    <x v="341"/>
    <x v="15"/>
    <d v="2025-01-17T00:00:00"/>
    <x v="1"/>
    <x v="0"/>
    <x v="2"/>
    <x v="0"/>
    <x v="3"/>
    <x v="3"/>
    <x v="2"/>
    <x v="1"/>
  </r>
  <r>
    <x v="360"/>
    <x v="12"/>
    <x v="2"/>
    <n v="79.8"/>
    <x v="342"/>
    <x v="15"/>
    <d v="2025-01-22T00:00:00"/>
    <x v="2"/>
    <x v="1"/>
    <x v="4"/>
    <x v="0"/>
    <x v="3"/>
    <x v="4"/>
    <x v="2"/>
    <x v="2"/>
  </r>
  <r>
    <x v="361"/>
    <x v="1"/>
    <x v="12"/>
    <n v="63.6"/>
    <x v="343"/>
    <x v="15"/>
    <d v="2025-01-17T00:00:00"/>
    <x v="3"/>
    <x v="0"/>
    <x v="2"/>
    <x v="0"/>
    <x v="24"/>
    <x v="3"/>
    <x v="2"/>
    <x v="3"/>
  </r>
  <r>
    <x v="362"/>
    <x v="7"/>
    <x v="7"/>
    <n v="92.7"/>
    <x v="344"/>
    <x v="15"/>
    <d v="2025-01-20T00:00:00"/>
    <x v="1"/>
    <x v="1"/>
    <x v="2"/>
    <x v="0"/>
    <x v="6"/>
    <x v="5"/>
    <x v="2"/>
    <x v="1"/>
  </r>
  <r>
    <x v="363"/>
    <x v="1"/>
    <x v="12"/>
    <n v="48.4"/>
    <x v="345"/>
    <x v="15"/>
    <d v="2025-01-18T00:00:00"/>
    <x v="2"/>
    <x v="1"/>
    <x v="2"/>
    <x v="0"/>
    <x v="6"/>
    <x v="1"/>
    <x v="2"/>
    <x v="2"/>
  </r>
  <r>
    <x v="364"/>
    <x v="9"/>
    <x v="8"/>
    <n v="36"/>
    <x v="346"/>
    <x v="15"/>
    <d v="2025-01-19T00:00:00"/>
    <x v="1"/>
    <x v="2"/>
    <x v="2"/>
    <x v="0"/>
    <x v="8"/>
    <x v="2"/>
    <x v="2"/>
    <x v="1"/>
  </r>
  <r>
    <x v="365"/>
    <x v="8"/>
    <x v="4"/>
    <n v="27"/>
    <x v="347"/>
    <x v="15"/>
    <d v="2025-01-18T00:00:00"/>
    <x v="2"/>
    <x v="2"/>
    <x v="1"/>
    <x v="0"/>
    <x v="8"/>
    <x v="1"/>
    <x v="2"/>
    <x v="2"/>
  </r>
  <r>
    <x v="366"/>
    <x v="2"/>
    <x v="8"/>
    <n v="53.9"/>
    <x v="348"/>
    <x v="15"/>
    <d v="2025-01-17T00:00:00"/>
    <x v="0"/>
    <x v="0"/>
    <x v="0"/>
    <x v="0"/>
    <x v="8"/>
    <x v="3"/>
    <x v="2"/>
    <x v="0"/>
  </r>
  <r>
    <x v="367"/>
    <x v="3"/>
    <x v="11"/>
    <n v="48.4"/>
    <x v="349"/>
    <x v="15"/>
    <d v="2025-01-17T00:00:00"/>
    <x v="2"/>
    <x v="1"/>
    <x v="0"/>
    <x v="0"/>
    <x v="9"/>
    <x v="3"/>
    <x v="2"/>
    <x v="2"/>
  </r>
  <r>
    <x v="368"/>
    <x v="17"/>
    <x v="1"/>
    <n v="49.9"/>
    <x v="350"/>
    <x v="15"/>
    <d v="2025-01-21T00:00:00"/>
    <x v="1"/>
    <x v="4"/>
    <x v="4"/>
    <x v="0"/>
    <x v="10"/>
    <x v="0"/>
    <x v="2"/>
    <x v="1"/>
  </r>
  <r>
    <x v="369"/>
    <x v="1"/>
    <x v="2"/>
    <n v="51.7"/>
    <x v="351"/>
    <x v="15"/>
    <d v="2025-01-17T00:00:00"/>
    <x v="2"/>
    <x v="0"/>
    <x v="2"/>
    <x v="0"/>
    <x v="11"/>
    <x v="3"/>
    <x v="2"/>
    <x v="2"/>
  </r>
  <r>
    <x v="370"/>
    <x v="8"/>
    <x v="2"/>
    <n v="41.8"/>
    <x v="352"/>
    <x v="15"/>
    <d v="2025-01-18T00:00:00"/>
    <x v="2"/>
    <x v="2"/>
    <x v="0"/>
    <x v="0"/>
    <x v="18"/>
    <x v="1"/>
    <x v="2"/>
    <x v="2"/>
  </r>
  <r>
    <x v="371"/>
    <x v="4"/>
    <x v="12"/>
    <n v="36.200000000000003"/>
    <x v="353"/>
    <x v="16"/>
    <d v="2025-01-18T00:00:00"/>
    <x v="1"/>
    <x v="2"/>
    <x v="2"/>
    <x v="0"/>
    <x v="21"/>
    <x v="3"/>
    <x v="2"/>
    <x v="1"/>
  </r>
  <r>
    <x v="372"/>
    <x v="2"/>
    <x v="0"/>
    <n v="150.9"/>
    <x v="354"/>
    <x v="16"/>
    <d v="2025-01-27T00:00:00"/>
    <x v="1"/>
    <x v="0"/>
    <x v="0"/>
    <x v="0"/>
    <x v="1"/>
    <x v="14"/>
    <x v="2"/>
    <x v="1"/>
  </r>
  <r>
    <x v="373"/>
    <x v="18"/>
    <x v="12"/>
    <n v="77.599999999999994"/>
    <x v="355"/>
    <x v="16"/>
    <d v="2025-01-18T00:00:00"/>
    <x v="0"/>
    <x v="2"/>
    <x v="0"/>
    <x v="0"/>
    <x v="3"/>
    <x v="3"/>
    <x v="2"/>
    <x v="0"/>
  </r>
  <r>
    <x v="374"/>
    <x v="13"/>
    <x v="9"/>
    <n v="65.5"/>
    <x v="356"/>
    <x v="16"/>
    <d v="2025-01-17T00:00:00"/>
    <x v="1"/>
    <x v="1"/>
    <x v="0"/>
    <x v="0"/>
    <x v="3"/>
    <x v="7"/>
    <x v="2"/>
    <x v="1"/>
  </r>
  <r>
    <x v="375"/>
    <x v="6"/>
    <x v="2"/>
    <n v="90.1"/>
    <x v="357"/>
    <x v="16"/>
    <d v="2025-01-19T00:00:00"/>
    <x v="2"/>
    <x v="0"/>
    <x v="0"/>
    <x v="0"/>
    <x v="3"/>
    <x v="1"/>
    <x v="2"/>
    <x v="2"/>
  </r>
  <r>
    <x v="376"/>
    <x v="1"/>
    <x v="1"/>
    <n v="108.3"/>
    <x v="358"/>
    <x v="16"/>
    <d v="2025-01-20T00:00:00"/>
    <x v="3"/>
    <x v="4"/>
    <x v="0"/>
    <x v="0"/>
    <x v="3"/>
    <x v="2"/>
    <x v="2"/>
    <x v="3"/>
  </r>
  <r>
    <x v="377"/>
    <x v="5"/>
    <x v="2"/>
    <n v="59.9"/>
    <x v="359"/>
    <x v="16"/>
    <d v="2025-01-21T00:00:00"/>
    <x v="2"/>
    <x v="0"/>
    <x v="0"/>
    <x v="0"/>
    <x v="3"/>
    <x v="5"/>
    <x v="2"/>
    <x v="2"/>
  </r>
  <r>
    <x v="378"/>
    <x v="2"/>
    <x v="14"/>
    <n v="139"/>
    <x v="360"/>
    <x v="16"/>
    <d v="2025-01-19T00:00:00"/>
    <x v="2"/>
    <x v="1"/>
    <x v="4"/>
    <x v="0"/>
    <x v="3"/>
    <x v="1"/>
    <x v="2"/>
    <x v="2"/>
  </r>
  <r>
    <x v="379"/>
    <x v="6"/>
    <x v="2"/>
    <n v="87.3"/>
    <x v="361"/>
    <x v="16"/>
    <d v="2025-01-18T00:00:00"/>
    <x v="2"/>
    <x v="0"/>
    <x v="0"/>
    <x v="0"/>
    <x v="3"/>
    <x v="3"/>
    <x v="2"/>
    <x v="2"/>
  </r>
  <r>
    <x v="380"/>
    <x v="11"/>
    <x v="12"/>
    <n v="42.3"/>
    <x v="362"/>
    <x v="16"/>
    <d v="2025-01-17T00:00:00"/>
    <x v="1"/>
    <x v="0"/>
    <x v="0"/>
    <x v="0"/>
    <x v="3"/>
    <x v="7"/>
    <x v="2"/>
    <x v="1"/>
  </r>
  <r>
    <x v="381"/>
    <x v="14"/>
    <x v="8"/>
    <n v="103.6"/>
    <x v="363"/>
    <x v="16"/>
    <d v="2025-01-18T00:00:00"/>
    <x v="3"/>
    <x v="0"/>
    <x v="1"/>
    <x v="0"/>
    <x v="3"/>
    <x v="3"/>
    <x v="2"/>
    <x v="3"/>
  </r>
  <r>
    <x v="382"/>
    <x v="6"/>
    <x v="1"/>
    <n v="90.9"/>
    <x v="364"/>
    <x v="16"/>
    <d v="2025-01-18T00:00:00"/>
    <x v="1"/>
    <x v="1"/>
    <x v="0"/>
    <x v="0"/>
    <x v="6"/>
    <x v="3"/>
    <x v="2"/>
    <x v="1"/>
  </r>
  <r>
    <x v="383"/>
    <x v="9"/>
    <x v="27"/>
    <n v="100.9"/>
    <x v="365"/>
    <x v="16"/>
    <d v="2025-01-18T00:00:00"/>
    <x v="2"/>
    <x v="1"/>
    <x v="0"/>
    <x v="0"/>
    <x v="6"/>
    <x v="3"/>
    <x v="2"/>
    <x v="2"/>
  </r>
  <r>
    <x v="384"/>
    <x v="4"/>
    <x v="9"/>
    <n v="36"/>
    <x v="366"/>
    <x v="16"/>
    <d v="2025-01-19T00:00:00"/>
    <x v="2"/>
    <x v="1"/>
    <x v="0"/>
    <x v="0"/>
    <x v="7"/>
    <x v="1"/>
    <x v="2"/>
    <x v="2"/>
  </r>
  <r>
    <x v="385"/>
    <x v="6"/>
    <x v="13"/>
    <n v="83.3"/>
    <x v="367"/>
    <x v="16"/>
    <d v="2025-01-20T00:00:00"/>
    <x v="0"/>
    <x v="2"/>
    <x v="0"/>
    <x v="0"/>
    <x v="7"/>
    <x v="2"/>
    <x v="2"/>
    <x v="0"/>
  </r>
  <r>
    <x v="386"/>
    <x v="2"/>
    <x v="14"/>
    <n v="60.3"/>
    <x v="368"/>
    <x v="16"/>
    <d v="2025-01-18T00:00:00"/>
    <x v="1"/>
    <x v="2"/>
    <x v="1"/>
    <x v="0"/>
    <x v="7"/>
    <x v="3"/>
    <x v="2"/>
    <x v="1"/>
  </r>
  <r>
    <x v="387"/>
    <x v="2"/>
    <x v="13"/>
    <n v="120.3"/>
    <x v="369"/>
    <x v="16"/>
    <d v="2025-01-18T00:00:00"/>
    <x v="1"/>
    <x v="2"/>
    <x v="0"/>
    <x v="0"/>
    <x v="8"/>
    <x v="3"/>
    <x v="2"/>
    <x v="1"/>
  </r>
  <r>
    <x v="388"/>
    <x v="4"/>
    <x v="7"/>
    <n v="34"/>
    <x v="370"/>
    <x v="16"/>
    <d v="2025-01-21T00:00:00"/>
    <x v="2"/>
    <x v="2"/>
    <x v="0"/>
    <x v="0"/>
    <x v="8"/>
    <x v="5"/>
    <x v="2"/>
    <x v="2"/>
  </r>
  <r>
    <x v="389"/>
    <x v="10"/>
    <x v="9"/>
    <n v="42.6"/>
    <x v="226"/>
    <x v="16"/>
    <d v="2025-01-20T00:00:00"/>
    <x v="1"/>
    <x v="1"/>
    <x v="0"/>
    <x v="0"/>
    <x v="8"/>
    <x v="2"/>
    <x v="2"/>
    <x v="1"/>
  </r>
  <r>
    <x v="390"/>
    <x v="5"/>
    <x v="28"/>
    <n v="47.4"/>
    <x v="371"/>
    <x v="16"/>
    <d v="2025-01-17T00:00:00"/>
    <x v="2"/>
    <x v="2"/>
    <x v="1"/>
    <x v="0"/>
    <x v="17"/>
    <x v="7"/>
    <x v="2"/>
    <x v="2"/>
  </r>
  <r>
    <x v="391"/>
    <x v="2"/>
    <x v="0"/>
    <n v="74"/>
    <x v="372"/>
    <x v="17"/>
    <d v="2025-01-19T00:00:00"/>
    <x v="1"/>
    <x v="1"/>
    <x v="0"/>
    <x v="0"/>
    <x v="11"/>
    <x v="3"/>
    <x v="2"/>
    <x v="1"/>
  </r>
  <r>
    <x v="392"/>
    <x v="2"/>
    <x v="9"/>
    <n v="60.4"/>
    <x v="373"/>
    <x v="17"/>
    <d v="2025-01-21T00:00:00"/>
    <x v="2"/>
    <x v="1"/>
    <x v="4"/>
    <x v="0"/>
    <x v="18"/>
    <x v="2"/>
    <x v="2"/>
    <x v="2"/>
  </r>
  <r>
    <x v="393"/>
    <x v="12"/>
    <x v="1"/>
    <n v="69.3"/>
    <x v="374"/>
    <x v="17"/>
    <d v="2025-01-21T00:00:00"/>
    <x v="1"/>
    <x v="1"/>
    <x v="1"/>
    <x v="0"/>
    <x v="13"/>
    <x v="2"/>
    <x v="2"/>
    <x v="1"/>
  </r>
  <r>
    <x v="394"/>
    <x v="5"/>
    <x v="9"/>
    <n v="81"/>
    <x v="375"/>
    <x v="17"/>
    <d v="2025-01-24T00:00:00"/>
    <x v="1"/>
    <x v="3"/>
    <x v="0"/>
    <x v="0"/>
    <x v="21"/>
    <x v="4"/>
    <x v="2"/>
    <x v="1"/>
  </r>
  <r>
    <x v="395"/>
    <x v="15"/>
    <x v="2"/>
    <n v="41.5"/>
    <x v="376"/>
    <x v="17"/>
    <d v="2025-01-20T00:00:00"/>
    <x v="3"/>
    <x v="1"/>
    <x v="0"/>
    <x v="0"/>
    <x v="21"/>
    <x v="1"/>
    <x v="2"/>
    <x v="3"/>
  </r>
  <r>
    <x v="396"/>
    <x v="18"/>
    <x v="1"/>
    <n v="69.7"/>
    <x v="377"/>
    <x v="17"/>
    <d v="2025-01-23T00:00:00"/>
    <x v="1"/>
    <x v="1"/>
    <x v="0"/>
    <x v="0"/>
    <x v="21"/>
    <x v="0"/>
    <x v="2"/>
    <x v="1"/>
  </r>
  <r>
    <x v="397"/>
    <x v="2"/>
    <x v="9"/>
    <n v="83.6"/>
    <x v="378"/>
    <x v="17"/>
    <d v="2025-01-18T00:00:00"/>
    <x v="2"/>
    <x v="4"/>
    <x v="0"/>
    <x v="0"/>
    <x v="1"/>
    <x v="7"/>
    <x v="2"/>
    <x v="2"/>
  </r>
  <r>
    <x v="398"/>
    <x v="8"/>
    <x v="3"/>
    <n v="21.5"/>
    <x v="379"/>
    <x v="17"/>
    <d v="2025-01-20T00:00:00"/>
    <x v="1"/>
    <x v="1"/>
    <x v="4"/>
    <x v="0"/>
    <x v="34"/>
    <x v="1"/>
    <x v="2"/>
    <x v="1"/>
  </r>
  <r>
    <x v="399"/>
    <x v="8"/>
    <x v="8"/>
    <n v="28.6"/>
    <x v="27"/>
    <x v="17"/>
    <d v="2025-01-19T00:00:00"/>
    <x v="1"/>
    <x v="0"/>
    <x v="0"/>
    <x v="0"/>
    <x v="3"/>
    <x v="3"/>
    <x v="2"/>
    <x v="1"/>
  </r>
  <r>
    <x v="400"/>
    <x v="8"/>
    <x v="13"/>
    <n v="18.8"/>
    <x v="380"/>
    <x v="17"/>
    <d v="2025-01-21T00:00:00"/>
    <x v="1"/>
    <x v="3"/>
    <x v="2"/>
    <x v="0"/>
    <x v="3"/>
    <x v="2"/>
    <x v="2"/>
    <x v="1"/>
  </r>
  <r>
    <x v="401"/>
    <x v="10"/>
    <x v="12"/>
    <n v="35.1"/>
    <x v="381"/>
    <x v="17"/>
    <d v="2025-01-18T00:00:00"/>
    <x v="2"/>
    <x v="1"/>
    <x v="1"/>
    <x v="0"/>
    <x v="3"/>
    <x v="7"/>
    <x v="2"/>
    <x v="2"/>
  </r>
  <r>
    <x v="402"/>
    <x v="0"/>
    <x v="1"/>
    <n v="12.7"/>
    <x v="382"/>
    <x v="17"/>
    <d v="2025-01-20T00:00:00"/>
    <x v="2"/>
    <x v="1"/>
    <x v="2"/>
    <x v="0"/>
    <x v="3"/>
    <x v="1"/>
    <x v="2"/>
    <x v="2"/>
  </r>
  <r>
    <x v="403"/>
    <x v="8"/>
    <x v="9"/>
    <n v="27.4"/>
    <x v="383"/>
    <x v="17"/>
    <d v="2025-01-20T00:00:00"/>
    <x v="3"/>
    <x v="0"/>
    <x v="0"/>
    <x v="0"/>
    <x v="3"/>
    <x v="1"/>
    <x v="2"/>
    <x v="3"/>
  </r>
  <r>
    <x v="404"/>
    <x v="10"/>
    <x v="1"/>
    <n v="61.3"/>
    <x v="384"/>
    <x v="17"/>
    <d v="2025-01-19T00:00:00"/>
    <x v="2"/>
    <x v="1"/>
    <x v="0"/>
    <x v="0"/>
    <x v="6"/>
    <x v="3"/>
    <x v="2"/>
    <x v="2"/>
  </r>
  <r>
    <x v="405"/>
    <x v="8"/>
    <x v="1"/>
    <n v="64.7"/>
    <x v="385"/>
    <x v="17"/>
    <d v="2025-01-20T00:00:00"/>
    <x v="2"/>
    <x v="3"/>
    <x v="2"/>
    <x v="0"/>
    <x v="6"/>
    <x v="1"/>
    <x v="2"/>
    <x v="2"/>
  </r>
  <r>
    <x v="406"/>
    <x v="7"/>
    <x v="12"/>
    <n v="91.4"/>
    <x v="386"/>
    <x v="17"/>
    <d v="2025-01-20T00:00:00"/>
    <x v="2"/>
    <x v="0"/>
    <x v="0"/>
    <x v="0"/>
    <x v="8"/>
    <x v="1"/>
    <x v="2"/>
    <x v="2"/>
  </r>
  <r>
    <x v="407"/>
    <x v="0"/>
    <x v="1"/>
    <n v="33.1"/>
    <x v="387"/>
    <x v="18"/>
    <d v="2025-01-20T00:00:00"/>
    <x v="1"/>
    <x v="0"/>
    <x v="2"/>
    <x v="0"/>
    <x v="8"/>
    <x v="3"/>
    <x v="3"/>
    <x v="1"/>
  </r>
  <r>
    <x v="408"/>
    <x v="3"/>
    <x v="1"/>
    <n v="105.6"/>
    <x v="23"/>
    <x v="18"/>
    <d v="2025-01-20T00:00:00"/>
    <x v="1"/>
    <x v="2"/>
    <x v="1"/>
    <x v="0"/>
    <x v="8"/>
    <x v="3"/>
    <x v="3"/>
    <x v="1"/>
  </r>
  <r>
    <x v="409"/>
    <x v="10"/>
    <x v="2"/>
    <n v="46.4"/>
    <x v="388"/>
    <x v="18"/>
    <d v="2025-01-20T00:00:00"/>
    <x v="1"/>
    <x v="2"/>
    <x v="0"/>
    <x v="0"/>
    <x v="9"/>
    <x v="3"/>
    <x v="3"/>
    <x v="1"/>
  </r>
  <r>
    <x v="410"/>
    <x v="9"/>
    <x v="21"/>
    <n v="35.299999999999997"/>
    <x v="389"/>
    <x v="18"/>
    <d v="2025-01-22T00:00:00"/>
    <x v="2"/>
    <x v="4"/>
    <x v="1"/>
    <x v="0"/>
    <x v="11"/>
    <x v="2"/>
    <x v="3"/>
    <x v="2"/>
  </r>
  <r>
    <x v="411"/>
    <x v="0"/>
    <x v="1"/>
    <n v="16.100000000000001"/>
    <x v="390"/>
    <x v="18"/>
    <d v="2025-01-21T00:00:00"/>
    <x v="1"/>
    <x v="3"/>
    <x v="2"/>
    <x v="0"/>
    <x v="32"/>
    <x v="1"/>
    <x v="3"/>
    <x v="1"/>
  </r>
  <r>
    <x v="412"/>
    <x v="4"/>
    <x v="1"/>
    <n v="27.9"/>
    <x v="391"/>
    <x v="18"/>
    <d v="2025-01-22T00:00:00"/>
    <x v="1"/>
    <x v="0"/>
    <x v="0"/>
    <x v="0"/>
    <x v="13"/>
    <x v="2"/>
    <x v="3"/>
    <x v="1"/>
  </r>
  <r>
    <x v="413"/>
    <x v="8"/>
    <x v="0"/>
    <n v="47.1"/>
    <x v="392"/>
    <x v="18"/>
    <d v="2025-01-27T00:00:00"/>
    <x v="2"/>
    <x v="1"/>
    <x v="0"/>
    <x v="0"/>
    <x v="2"/>
    <x v="9"/>
    <x v="3"/>
    <x v="2"/>
  </r>
  <r>
    <x v="414"/>
    <x v="6"/>
    <x v="1"/>
    <n v="85"/>
    <x v="393"/>
    <x v="18"/>
    <d v="2025-01-22T00:00:00"/>
    <x v="0"/>
    <x v="2"/>
    <x v="2"/>
    <x v="0"/>
    <x v="22"/>
    <x v="2"/>
    <x v="3"/>
    <x v="0"/>
  </r>
  <r>
    <x v="415"/>
    <x v="18"/>
    <x v="1"/>
    <n v="89"/>
    <x v="394"/>
    <x v="18"/>
    <d v="2025-01-21T00:00:00"/>
    <x v="2"/>
    <x v="0"/>
    <x v="0"/>
    <x v="0"/>
    <x v="3"/>
    <x v="1"/>
    <x v="3"/>
    <x v="2"/>
  </r>
  <r>
    <x v="416"/>
    <x v="16"/>
    <x v="2"/>
    <n v="36.6"/>
    <x v="17"/>
    <x v="18"/>
    <d v="2025-01-20T00:00:00"/>
    <x v="3"/>
    <x v="3"/>
    <x v="2"/>
    <x v="0"/>
    <x v="3"/>
    <x v="3"/>
    <x v="3"/>
    <x v="3"/>
  </r>
  <r>
    <x v="417"/>
    <x v="6"/>
    <x v="3"/>
    <n v="43.5"/>
    <x v="395"/>
    <x v="18"/>
    <d v="2025-01-20T00:00:00"/>
    <x v="1"/>
    <x v="1"/>
    <x v="2"/>
    <x v="0"/>
    <x v="3"/>
    <x v="3"/>
    <x v="3"/>
    <x v="1"/>
  </r>
  <r>
    <x v="418"/>
    <x v="9"/>
    <x v="10"/>
    <n v="30.5"/>
    <x v="396"/>
    <x v="18"/>
    <d v="2025-01-19T00:00:00"/>
    <x v="2"/>
    <x v="3"/>
    <x v="0"/>
    <x v="0"/>
    <x v="3"/>
    <x v="7"/>
    <x v="3"/>
    <x v="2"/>
  </r>
  <r>
    <x v="419"/>
    <x v="1"/>
    <x v="1"/>
    <n v="107.7"/>
    <x v="397"/>
    <x v="18"/>
    <d v="2025-01-23T00:00:00"/>
    <x v="1"/>
    <x v="3"/>
    <x v="4"/>
    <x v="0"/>
    <x v="3"/>
    <x v="5"/>
    <x v="3"/>
    <x v="1"/>
  </r>
  <r>
    <x v="420"/>
    <x v="17"/>
    <x v="18"/>
    <n v="57.1"/>
    <x v="398"/>
    <x v="18"/>
    <d v="2025-01-20T00:00:00"/>
    <x v="1"/>
    <x v="1"/>
    <x v="0"/>
    <x v="0"/>
    <x v="3"/>
    <x v="3"/>
    <x v="3"/>
    <x v="1"/>
  </r>
  <r>
    <x v="421"/>
    <x v="2"/>
    <x v="7"/>
    <n v="111.7"/>
    <x v="399"/>
    <x v="18"/>
    <d v="2025-01-20T00:00:00"/>
    <x v="2"/>
    <x v="4"/>
    <x v="2"/>
    <x v="0"/>
    <x v="3"/>
    <x v="3"/>
    <x v="3"/>
    <x v="2"/>
  </r>
  <r>
    <x v="422"/>
    <x v="18"/>
    <x v="3"/>
    <n v="44.3"/>
    <x v="400"/>
    <x v="18"/>
    <d v="2025-01-22T00:00:00"/>
    <x v="1"/>
    <x v="3"/>
    <x v="2"/>
    <x v="0"/>
    <x v="3"/>
    <x v="2"/>
    <x v="3"/>
    <x v="1"/>
  </r>
  <r>
    <x v="423"/>
    <x v="2"/>
    <x v="8"/>
    <n v="95.8"/>
    <x v="401"/>
    <x v="18"/>
    <d v="2025-01-25T00:00:00"/>
    <x v="3"/>
    <x v="0"/>
    <x v="0"/>
    <x v="0"/>
    <x v="3"/>
    <x v="4"/>
    <x v="3"/>
    <x v="3"/>
  </r>
  <r>
    <x v="424"/>
    <x v="10"/>
    <x v="3"/>
    <n v="22.6"/>
    <x v="402"/>
    <x v="18"/>
    <d v="2025-01-22T00:00:00"/>
    <x v="2"/>
    <x v="3"/>
    <x v="1"/>
    <x v="0"/>
    <x v="3"/>
    <x v="2"/>
    <x v="3"/>
    <x v="2"/>
  </r>
  <r>
    <x v="425"/>
    <x v="8"/>
    <x v="8"/>
    <n v="25.6"/>
    <x v="403"/>
    <x v="18"/>
    <d v="2025-01-21T00:00:00"/>
    <x v="2"/>
    <x v="4"/>
    <x v="0"/>
    <x v="0"/>
    <x v="3"/>
    <x v="1"/>
    <x v="3"/>
    <x v="2"/>
  </r>
  <r>
    <x v="426"/>
    <x v="6"/>
    <x v="27"/>
    <n v="54.3"/>
    <x v="404"/>
    <x v="18"/>
    <d v="2025-01-22T00:00:00"/>
    <x v="2"/>
    <x v="4"/>
    <x v="0"/>
    <x v="0"/>
    <x v="3"/>
    <x v="2"/>
    <x v="3"/>
    <x v="2"/>
  </r>
  <r>
    <x v="427"/>
    <x v="18"/>
    <x v="15"/>
    <n v="51.3"/>
    <x v="405"/>
    <x v="18"/>
    <d v="2025-01-21T00:00:00"/>
    <x v="1"/>
    <x v="0"/>
    <x v="2"/>
    <x v="0"/>
    <x v="3"/>
    <x v="1"/>
    <x v="3"/>
    <x v="1"/>
  </r>
  <r>
    <x v="428"/>
    <x v="0"/>
    <x v="8"/>
    <n v="25.6"/>
    <x v="403"/>
    <x v="18"/>
    <d v="2025-01-20T00:00:00"/>
    <x v="2"/>
    <x v="1"/>
    <x v="1"/>
    <x v="0"/>
    <x v="3"/>
    <x v="3"/>
    <x v="3"/>
    <x v="2"/>
  </r>
  <r>
    <x v="429"/>
    <x v="0"/>
    <x v="1"/>
    <n v="15.6"/>
    <x v="406"/>
    <x v="18"/>
    <d v="2025-01-20T00:00:00"/>
    <x v="2"/>
    <x v="2"/>
    <x v="2"/>
    <x v="0"/>
    <x v="3"/>
    <x v="3"/>
    <x v="3"/>
    <x v="2"/>
  </r>
  <r>
    <x v="430"/>
    <x v="8"/>
    <x v="2"/>
    <n v="30.3"/>
    <x v="407"/>
    <x v="18"/>
    <d v="2025-01-23T00:00:00"/>
    <x v="2"/>
    <x v="0"/>
    <x v="1"/>
    <x v="0"/>
    <x v="3"/>
    <x v="5"/>
    <x v="3"/>
    <x v="2"/>
  </r>
  <r>
    <x v="431"/>
    <x v="12"/>
    <x v="1"/>
    <n v="30.3"/>
    <x v="408"/>
    <x v="18"/>
    <d v="2025-01-24T00:00:00"/>
    <x v="2"/>
    <x v="0"/>
    <x v="2"/>
    <x v="0"/>
    <x v="37"/>
    <x v="0"/>
    <x v="3"/>
    <x v="2"/>
  </r>
  <r>
    <x v="432"/>
    <x v="10"/>
    <x v="2"/>
    <n v="53"/>
    <x v="409"/>
    <x v="18"/>
    <d v="2025-01-26T00:00:00"/>
    <x v="2"/>
    <x v="2"/>
    <x v="0"/>
    <x v="0"/>
    <x v="24"/>
    <x v="6"/>
    <x v="3"/>
    <x v="2"/>
  </r>
  <r>
    <x v="433"/>
    <x v="5"/>
    <x v="16"/>
    <n v="59.9"/>
    <x v="410"/>
    <x v="18"/>
    <d v="2025-01-22T00:00:00"/>
    <x v="1"/>
    <x v="2"/>
    <x v="4"/>
    <x v="0"/>
    <x v="25"/>
    <x v="2"/>
    <x v="3"/>
    <x v="1"/>
  </r>
  <r>
    <x v="434"/>
    <x v="9"/>
    <x v="1"/>
    <n v="45.7"/>
    <x v="411"/>
    <x v="18"/>
    <d v="2025-01-20T00:00:00"/>
    <x v="2"/>
    <x v="1"/>
    <x v="2"/>
    <x v="0"/>
    <x v="6"/>
    <x v="3"/>
    <x v="3"/>
    <x v="2"/>
  </r>
  <r>
    <x v="435"/>
    <x v="8"/>
    <x v="12"/>
    <n v="46.1"/>
    <x v="412"/>
    <x v="18"/>
    <d v="2025-01-20T00:00:00"/>
    <x v="1"/>
    <x v="0"/>
    <x v="0"/>
    <x v="0"/>
    <x v="6"/>
    <x v="3"/>
    <x v="3"/>
    <x v="1"/>
  </r>
  <r>
    <x v="436"/>
    <x v="8"/>
    <x v="2"/>
    <n v="17.5"/>
    <x v="413"/>
    <x v="18"/>
    <d v="2025-01-20T00:00:00"/>
    <x v="2"/>
    <x v="0"/>
    <x v="2"/>
    <x v="0"/>
    <x v="8"/>
    <x v="3"/>
    <x v="3"/>
    <x v="2"/>
  </r>
  <r>
    <x v="437"/>
    <x v="10"/>
    <x v="2"/>
    <n v="36.5"/>
    <x v="414"/>
    <x v="18"/>
    <d v="2025-01-30T00:00:00"/>
    <x v="1"/>
    <x v="2"/>
    <x v="0"/>
    <x v="0"/>
    <x v="8"/>
    <x v="11"/>
    <x v="3"/>
    <x v="1"/>
  </r>
  <r>
    <x v="438"/>
    <x v="8"/>
    <x v="1"/>
    <n v="47.5"/>
    <x v="415"/>
    <x v="19"/>
    <d v="2025-01-22T00:00:00"/>
    <x v="2"/>
    <x v="1"/>
    <x v="0"/>
    <x v="0"/>
    <x v="8"/>
    <x v="1"/>
    <x v="3"/>
    <x v="2"/>
  </r>
  <r>
    <x v="439"/>
    <x v="6"/>
    <x v="9"/>
    <n v="45.6"/>
    <x v="416"/>
    <x v="19"/>
    <d v="2025-01-22T00:00:00"/>
    <x v="2"/>
    <x v="0"/>
    <x v="2"/>
    <x v="0"/>
    <x v="8"/>
    <x v="1"/>
    <x v="3"/>
    <x v="2"/>
  </r>
  <r>
    <x v="440"/>
    <x v="9"/>
    <x v="1"/>
    <n v="50.5"/>
    <x v="95"/>
    <x v="19"/>
    <d v="2025-01-22T00:00:00"/>
    <x v="1"/>
    <x v="0"/>
    <x v="1"/>
    <x v="0"/>
    <x v="17"/>
    <x v="1"/>
    <x v="3"/>
    <x v="1"/>
  </r>
  <r>
    <x v="441"/>
    <x v="2"/>
    <x v="7"/>
    <n v="99.8"/>
    <x v="417"/>
    <x v="19"/>
    <d v="2025-01-23T00:00:00"/>
    <x v="2"/>
    <x v="2"/>
    <x v="1"/>
    <x v="0"/>
    <x v="17"/>
    <x v="2"/>
    <x v="3"/>
    <x v="2"/>
  </r>
  <r>
    <x v="442"/>
    <x v="8"/>
    <x v="20"/>
    <n v="19.2"/>
    <x v="346"/>
    <x v="19"/>
    <d v="2025-01-22T00:00:00"/>
    <x v="3"/>
    <x v="4"/>
    <x v="1"/>
    <x v="0"/>
    <x v="26"/>
    <x v="1"/>
    <x v="3"/>
    <x v="3"/>
  </r>
  <r>
    <x v="443"/>
    <x v="17"/>
    <x v="2"/>
    <n v="22.6"/>
    <x v="418"/>
    <x v="19"/>
    <d v="2025-01-21T00:00:00"/>
    <x v="1"/>
    <x v="1"/>
    <x v="0"/>
    <x v="0"/>
    <x v="11"/>
    <x v="3"/>
    <x v="3"/>
    <x v="1"/>
  </r>
  <r>
    <x v="444"/>
    <x v="1"/>
    <x v="20"/>
    <n v="126.9"/>
    <x v="419"/>
    <x v="19"/>
    <d v="2025-01-22T00:00:00"/>
    <x v="2"/>
    <x v="0"/>
    <x v="2"/>
    <x v="0"/>
    <x v="11"/>
    <x v="1"/>
    <x v="3"/>
    <x v="2"/>
  </r>
  <r>
    <x v="445"/>
    <x v="2"/>
    <x v="1"/>
    <n v="100.3"/>
    <x v="420"/>
    <x v="19"/>
    <d v="2025-01-21T00:00:00"/>
    <x v="2"/>
    <x v="0"/>
    <x v="1"/>
    <x v="0"/>
    <x v="11"/>
    <x v="3"/>
    <x v="3"/>
    <x v="2"/>
  </r>
  <r>
    <x v="446"/>
    <x v="4"/>
    <x v="16"/>
    <n v="24.6"/>
    <x v="421"/>
    <x v="19"/>
    <d v="2025-01-21T00:00:00"/>
    <x v="2"/>
    <x v="4"/>
    <x v="0"/>
    <x v="0"/>
    <x v="13"/>
    <x v="3"/>
    <x v="3"/>
    <x v="2"/>
  </r>
  <r>
    <x v="447"/>
    <x v="6"/>
    <x v="1"/>
    <n v="47.3"/>
    <x v="422"/>
    <x v="19"/>
    <d v="2025-01-21T00:00:00"/>
    <x v="1"/>
    <x v="1"/>
    <x v="2"/>
    <x v="0"/>
    <x v="13"/>
    <x v="3"/>
    <x v="3"/>
    <x v="1"/>
  </r>
  <r>
    <x v="448"/>
    <x v="6"/>
    <x v="3"/>
    <n v="40.799999999999997"/>
    <x v="423"/>
    <x v="19"/>
    <d v="2025-01-23T00:00:00"/>
    <x v="2"/>
    <x v="2"/>
    <x v="2"/>
    <x v="0"/>
    <x v="21"/>
    <x v="2"/>
    <x v="3"/>
    <x v="2"/>
  </r>
  <r>
    <x v="449"/>
    <x v="8"/>
    <x v="8"/>
    <n v="49.2"/>
    <x v="424"/>
    <x v="19"/>
    <d v="2025-01-22T00:00:00"/>
    <x v="2"/>
    <x v="0"/>
    <x v="0"/>
    <x v="0"/>
    <x v="1"/>
    <x v="1"/>
    <x v="3"/>
    <x v="2"/>
  </r>
  <r>
    <x v="450"/>
    <x v="8"/>
    <x v="0"/>
    <n v="28.5"/>
    <x v="425"/>
    <x v="19"/>
    <d v="2025-01-22T00:00:00"/>
    <x v="0"/>
    <x v="2"/>
    <x v="1"/>
    <x v="0"/>
    <x v="3"/>
    <x v="1"/>
    <x v="3"/>
    <x v="0"/>
  </r>
  <r>
    <x v="451"/>
    <x v="18"/>
    <x v="1"/>
    <n v="36.799999999999997"/>
    <x v="426"/>
    <x v="19"/>
    <d v="2025-01-26T00:00:00"/>
    <x v="2"/>
    <x v="0"/>
    <x v="2"/>
    <x v="0"/>
    <x v="3"/>
    <x v="4"/>
    <x v="3"/>
    <x v="2"/>
  </r>
  <r>
    <x v="452"/>
    <x v="7"/>
    <x v="2"/>
    <n v="33.5"/>
    <x v="427"/>
    <x v="19"/>
    <d v="2025-01-21T00:00:00"/>
    <x v="2"/>
    <x v="0"/>
    <x v="1"/>
    <x v="0"/>
    <x v="3"/>
    <x v="3"/>
    <x v="3"/>
    <x v="2"/>
  </r>
  <r>
    <x v="453"/>
    <x v="6"/>
    <x v="13"/>
    <n v="62.5"/>
    <x v="428"/>
    <x v="19"/>
    <d v="2025-01-22T00:00:00"/>
    <x v="2"/>
    <x v="0"/>
    <x v="0"/>
    <x v="0"/>
    <x v="3"/>
    <x v="1"/>
    <x v="3"/>
    <x v="2"/>
  </r>
  <r>
    <x v="454"/>
    <x v="8"/>
    <x v="29"/>
    <n v="47.9"/>
    <x v="429"/>
    <x v="19"/>
    <d v="2025-01-21T00:00:00"/>
    <x v="2"/>
    <x v="3"/>
    <x v="0"/>
    <x v="0"/>
    <x v="3"/>
    <x v="3"/>
    <x v="3"/>
    <x v="2"/>
  </r>
  <r>
    <x v="455"/>
    <x v="6"/>
    <x v="13"/>
    <n v="92.9"/>
    <x v="430"/>
    <x v="19"/>
    <d v="2025-01-31T00:00:00"/>
    <x v="2"/>
    <x v="0"/>
    <x v="4"/>
    <x v="0"/>
    <x v="3"/>
    <x v="11"/>
    <x v="3"/>
    <x v="2"/>
  </r>
  <r>
    <x v="456"/>
    <x v="12"/>
    <x v="2"/>
    <n v="44.1"/>
    <x v="431"/>
    <x v="19"/>
    <d v="2025-01-20T00:00:00"/>
    <x v="2"/>
    <x v="1"/>
    <x v="1"/>
    <x v="0"/>
    <x v="43"/>
    <x v="7"/>
    <x v="3"/>
    <x v="2"/>
  </r>
  <r>
    <x v="457"/>
    <x v="0"/>
    <x v="0"/>
    <n v="11.4"/>
    <x v="432"/>
    <x v="20"/>
    <d v="2025-01-23T00:00:00"/>
    <x v="2"/>
    <x v="2"/>
    <x v="0"/>
    <x v="0"/>
    <x v="5"/>
    <x v="1"/>
    <x v="3"/>
    <x v="2"/>
  </r>
  <r>
    <x v="458"/>
    <x v="6"/>
    <x v="0"/>
    <n v="83.7"/>
    <x v="433"/>
    <x v="20"/>
    <d v="2025-01-23T00:00:00"/>
    <x v="2"/>
    <x v="0"/>
    <x v="2"/>
    <x v="0"/>
    <x v="6"/>
    <x v="1"/>
    <x v="3"/>
    <x v="2"/>
  </r>
  <r>
    <x v="459"/>
    <x v="10"/>
    <x v="1"/>
    <n v="23.2"/>
    <x v="434"/>
    <x v="20"/>
    <d v="2025-01-22T00:00:00"/>
    <x v="1"/>
    <x v="2"/>
    <x v="0"/>
    <x v="0"/>
    <x v="8"/>
    <x v="3"/>
    <x v="3"/>
    <x v="1"/>
  </r>
  <r>
    <x v="460"/>
    <x v="2"/>
    <x v="0"/>
    <n v="162.1"/>
    <x v="435"/>
    <x v="20"/>
    <d v="2025-01-24T00:00:00"/>
    <x v="2"/>
    <x v="0"/>
    <x v="2"/>
    <x v="0"/>
    <x v="9"/>
    <x v="2"/>
    <x v="3"/>
    <x v="2"/>
  </r>
  <r>
    <x v="461"/>
    <x v="6"/>
    <x v="12"/>
    <n v="49.2"/>
    <x v="436"/>
    <x v="20"/>
    <d v="2025-01-25T00:00:00"/>
    <x v="1"/>
    <x v="1"/>
    <x v="0"/>
    <x v="0"/>
    <x v="9"/>
    <x v="5"/>
    <x v="3"/>
    <x v="1"/>
  </r>
  <r>
    <x v="462"/>
    <x v="1"/>
    <x v="1"/>
    <n v="61"/>
    <x v="164"/>
    <x v="20"/>
    <d v="2025-01-22T00:00:00"/>
    <x v="1"/>
    <x v="3"/>
    <x v="0"/>
    <x v="0"/>
    <x v="10"/>
    <x v="3"/>
    <x v="3"/>
    <x v="1"/>
  </r>
  <r>
    <x v="463"/>
    <x v="2"/>
    <x v="7"/>
    <n v="53.1"/>
    <x v="437"/>
    <x v="20"/>
    <d v="2025-01-23T00:00:00"/>
    <x v="1"/>
    <x v="0"/>
    <x v="0"/>
    <x v="0"/>
    <x v="11"/>
    <x v="1"/>
    <x v="3"/>
    <x v="1"/>
  </r>
  <r>
    <x v="464"/>
    <x v="4"/>
    <x v="1"/>
    <n v="22.4"/>
    <x v="438"/>
    <x v="20"/>
    <d v="2025-01-23T00:00:00"/>
    <x v="0"/>
    <x v="1"/>
    <x v="2"/>
    <x v="0"/>
    <x v="13"/>
    <x v="1"/>
    <x v="3"/>
    <x v="0"/>
  </r>
  <r>
    <x v="465"/>
    <x v="1"/>
    <x v="9"/>
    <n v="75.3"/>
    <x v="439"/>
    <x v="20"/>
    <d v="2025-01-22T00:00:00"/>
    <x v="1"/>
    <x v="0"/>
    <x v="0"/>
    <x v="0"/>
    <x v="21"/>
    <x v="3"/>
    <x v="3"/>
    <x v="1"/>
  </r>
  <r>
    <x v="466"/>
    <x v="6"/>
    <x v="0"/>
    <n v="48.5"/>
    <x v="319"/>
    <x v="20"/>
    <d v="2025-01-22T00:00:00"/>
    <x v="2"/>
    <x v="0"/>
    <x v="1"/>
    <x v="0"/>
    <x v="21"/>
    <x v="3"/>
    <x v="3"/>
    <x v="2"/>
  </r>
  <r>
    <x v="467"/>
    <x v="6"/>
    <x v="0"/>
    <n v="42.6"/>
    <x v="440"/>
    <x v="20"/>
    <d v="2025-01-25T00:00:00"/>
    <x v="2"/>
    <x v="3"/>
    <x v="0"/>
    <x v="0"/>
    <x v="1"/>
    <x v="5"/>
    <x v="3"/>
    <x v="2"/>
  </r>
  <r>
    <x v="468"/>
    <x v="5"/>
    <x v="9"/>
    <n v="49"/>
    <x v="441"/>
    <x v="20"/>
    <d v="2025-01-22T00:00:00"/>
    <x v="1"/>
    <x v="0"/>
    <x v="0"/>
    <x v="0"/>
    <x v="22"/>
    <x v="3"/>
    <x v="3"/>
    <x v="1"/>
  </r>
  <r>
    <x v="469"/>
    <x v="8"/>
    <x v="2"/>
    <n v="31.3"/>
    <x v="442"/>
    <x v="20"/>
    <d v="2025-01-22T00:00:00"/>
    <x v="1"/>
    <x v="2"/>
    <x v="1"/>
    <x v="0"/>
    <x v="3"/>
    <x v="3"/>
    <x v="3"/>
    <x v="1"/>
  </r>
  <r>
    <x v="470"/>
    <x v="2"/>
    <x v="1"/>
    <n v="85.4"/>
    <x v="443"/>
    <x v="20"/>
    <d v="2025-01-22T00:00:00"/>
    <x v="2"/>
    <x v="2"/>
    <x v="0"/>
    <x v="0"/>
    <x v="3"/>
    <x v="3"/>
    <x v="3"/>
    <x v="2"/>
  </r>
  <r>
    <x v="471"/>
    <x v="8"/>
    <x v="12"/>
    <n v="40"/>
    <x v="444"/>
    <x v="20"/>
    <d v="2025-01-22T00:00:00"/>
    <x v="3"/>
    <x v="0"/>
    <x v="2"/>
    <x v="0"/>
    <x v="3"/>
    <x v="3"/>
    <x v="3"/>
    <x v="3"/>
  </r>
  <r>
    <x v="472"/>
    <x v="5"/>
    <x v="1"/>
    <n v="38.5"/>
    <x v="445"/>
    <x v="20"/>
    <d v="2025-01-24T00:00:00"/>
    <x v="1"/>
    <x v="1"/>
    <x v="2"/>
    <x v="0"/>
    <x v="3"/>
    <x v="2"/>
    <x v="3"/>
    <x v="1"/>
  </r>
  <r>
    <x v="473"/>
    <x v="2"/>
    <x v="1"/>
    <n v="57.8"/>
    <x v="446"/>
    <x v="20"/>
    <d v="2025-01-22T00:00:00"/>
    <x v="0"/>
    <x v="0"/>
    <x v="0"/>
    <x v="0"/>
    <x v="3"/>
    <x v="3"/>
    <x v="3"/>
    <x v="0"/>
  </r>
  <r>
    <x v="474"/>
    <x v="8"/>
    <x v="0"/>
    <n v="19.2"/>
    <x v="447"/>
    <x v="20"/>
    <d v="2025-01-22T00:00:00"/>
    <x v="2"/>
    <x v="0"/>
    <x v="4"/>
    <x v="0"/>
    <x v="3"/>
    <x v="3"/>
    <x v="3"/>
    <x v="2"/>
  </r>
  <r>
    <x v="475"/>
    <x v="6"/>
    <x v="13"/>
    <n v="114.8"/>
    <x v="448"/>
    <x v="20"/>
    <d v="2025-01-24T00:00:00"/>
    <x v="1"/>
    <x v="1"/>
    <x v="1"/>
    <x v="0"/>
    <x v="3"/>
    <x v="2"/>
    <x v="3"/>
    <x v="1"/>
  </r>
  <r>
    <x v="476"/>
    <x v="10"/>
    <x v="3"/>
    <n v="48.4"/>
    <x v="449"/>
    <x v="20"/>
    <d v="2025-01-24T00:00:00"/>
    <x v="2"/>
    <x v="3"/>
    <x v="1"/>
    <x v="0"/>
    <x v="3"/>
    <x v="2"/>
    <x v="3"/>
    <x v="2"/>
  </r>
  <r>
    <x v="477"/>
    <x v="9"/>
    <x v="9"/>
    <n v="73.2"/>
    <x v="450"/>
    <x v="20"/>
    <d v="2025-01-22T00:00:00"/>
    <x v="2"/>
    <x v="1"/>
    <x v="4"/>
    <x v="0"/>
    <x v="3"/>
    <x v="3"/>
    <x v="3"/>
    <x v="2"/>
  </r>
  <r>
    <x v="478"/>
    <x v="15"/>
    <x v="1"/>
    <n v="48.6"/>
    <x v="451"/>
    <x v="20"/>
    <d v="2025-01-25T00:00:00"/>
    <x v="2"/>
    <x v="3"/>
    <x v="0"/>
    <x v="0"/>
    <x v="3"/>
    <x v="5"/>
    <x v="3"/>
    <x v="2"/>
  </r>
  <r>
    <x v="479"/>
    <x v="0"/>
    <x v="13"/>
    <n v="48.7"/>
    <x v="452"/>
    <x v="20"/>
    <d v="2025-01-22T00:00:00"/>
    <x v="1"/>
    <x v="0"/>
    <x v="0"/>
    <x v="0"/>
    <x v="3"/>
    <x v="3"/>
    <x v="3"/>
    <x v="1"/>
  </r>
  <r>
    <x v="480"/>
    <x v="4"/>
    <x v="1"/>
    <n v="32.200000000000003"/>
    <x v="453"/>
    <x v="20"/>
    <d v="2025-01-24T00:00:00"/>
    <x v="1"/>
    <x v="2"/>
    <x v="2"/>
    <x v="0"/>
    <x v="3"/>
    <x v="2"/>
    <x v="3"/>
    <x v="1"/>
  </r>
  <r>
    <x v="481"/>
    <x v="15"/>
    <x v="8"/>
    <n v="25.8"/>
    <x v="454"/>
    <x v="20"/>
    <d v="2025-01-22T00:00:00"/>
    <x v="1"/>
    <x v="0"/>
    <x v="0"/>
    <x v="0"/>
    <x v="37"/>
    <x v="3"/>
    <x v="3"/>
    <x v="1"/>
  </r>
  <r>
    <x v="482"/>
    <x v="6"/>
    <x v="1"/>
    <n v="94.8"/>
    <x v="455"/>
    <x v="21"/>
    <d v="2025-01-25T00:00:00"/>
    <x v="2"/>
    <x v="1"/>
    <x v="1"/>
    <x v="0"/>
    <x v="25"/>
    <x v="2"/>
    <x v="3"/>
    <x v="2"/>
  </r>
  <r>
    <x v="483"/>
    <x v="15"/>
    <x v="30"/>
    <n v="56.8"/>
    <x v="456"/>
    <x v="21"/>
    <d v="2025-01-25T00:00:00"/>
    <x v="1"/>
    <x v="0"/>
    <x v="0"/>
    <x v="0"/>
    <x v="25"/>
    <x v="2"/>
    <x v="3"/>
    <x v="1"/>
  </r>
  <r>
    <x v="484"/>
    <x v="8"/>
    <x v="27"/>
    <n v="18.3"/>
    <x v="457"/>
    <x v="21"/>
    <d v="2025-01-29T00:00:00"/>
    <x v="2"/>
    <x v="2"/>
    <x v="2"/>
    <x v="0"/>
    <x v="23"/>
    <x v="6"/>
    <x v="3"/>
    <x v="2"/>
  </r>
  <r>
    <x v="485"/>
    <x v="0"/>
    <x v="2"/>
    <n v="16.8"/>
    <x v="458"/>
    <x v="21"/>
    <d v="2025-01-27T00:00:00"/>
    <x v="2"/>
    <x v="2"/>
    <x v="2"/>
    <x v="0"/>
    <x v="8"/>
    <x v="0"/>
    <x v="3"/>
    <x v="2"/>
  </r>
  <r>
    <x v="486"/>
    <x v="5"/>
    <x v="5"/>
    <n v="35.799999999999997"/>
    <x v="459"/>
    <x v="21"/>
    <d v="2025-01-23T00:00:00"/>
    <x v="1"/>
    <x v="1"/>
    <x v="0"/>
    <x v="0"/>
    <x v="17"/>
    <x v="3"/>
    <x v="3"/>
    <x v="1"/>
  </r>
  <r>
    <x v="487"/>
    <x v="18"/>
    <x v="0"/>
    <n v="64.900000000000006"/>
    <x v="460"/>
    <x v="21"/>
    <d v="2025-01-23T00:00:00"/>
    <x v="1"/>
    <x v="0"/>
    <x v="1"/>
    <x v="0"/>
    <x v="17"/>
    <x v="3"/>
    <x v="3"/>
    <x v="1"/>
  </r>
  <r>
    <x v="488"/>
    <x v="18"/>
    <x v="0"/>
    <n v="28.5"/>
    <x v="425"/>
    <x v="21"/>
    <d v="2025-01-24T00:00:00"/>
    <x v="0"/>
    <x v="1"/>
    <x v="0"/>
    <x v="0"/>
    <x v="9"/>
    <x v="1"/>
    <x v="3"/>
    <x v="0"/>
  </r>
  <r>
    <x v="489"/>
    <x v="18"/>
    <x v="1"/>
    <n v="103.5"/>
    <x v="461"/>
    <x v="21"/>
    <d v="2025-01-24T00:00:00"/>
    <x v="2"/>
    <x v="1"/>
    <x v="0"/>
    <x v="0"/>
    <x v="10"/>
    <x v="1"/>
    <x v="3"/>
    <x v="2"/>
  </r>
  <r>
    <x v="490"/>
    <x v="4"/>
    <x v="1"/>
    <n v="41.2"/>
    <x v="462"/>
    <x v="21"/>
    <d v="2025-01-23T00:00:00"/>
    <x v="2"/>
    <x v="1"/>
    <x v="0"/>
    <x v="0"/>
    <x v="10"/>
    <x v="3"/>
    <x v="3"/>
    <x v="2"/>
  </r>
  <r>
    <x v="491"/>
    <x v="9"/>
    <x v="0"/>
    <n v="37.799999999999997"/>
    <x v="463"/>
    <x v="21"/>
    <d v="2025-01-24T00:00:00"/>
    <x v="2"/>
    <x v="3"/>
    <x v="3"/>
    <x v="0"/>
    <x v="11"/>
    <x v="1"/>
    <x v="3"/>
    <x v="2"/>
  </r>
  <r>
    <x v="492"/>
    <x v="8"/>
    <x v="1"/>
    <n v="42.6"/>
    <x v="464"/>
    <x v="21"/>
    <d v="2025-01-24T00:00:00"/>
    <x v="2"/>
    <x v="4"/>
    <x v="0"/>
    <x v="0"/>
    <x v="11"/>
    <x v="1"/>
    <x v="3"/>
    <x v="2"/>
  </r>
  <r>
    <x v="493"/>
    <x v="8"/>
    <x v="7"/>
    <n v="15.2"/>
    <x v="465"/>
    <x v="21"/>
    <d v="2025-01-24T00:00:00"/>
    <x v="2"/>
    <x v="2"/>
    <x v="0"/>
    <x v="0"/>
    <x v="11"/>
    <x v="1"/>
    <x v="3"/>
    <x v="2"/>
  </r>
  <r>
    <x v="494"/>
    <x v="7"/>
    <x v="12"/>
    <n v="83.4"/>
    <x v="335"/>
    <x v="21"/>
    <d v="2025-01-23T00:00:00"/>
    <x v="2"/>
    <x v="2"/>
    <x v="1"/>
    <x v="0"/>
    <x v="18"/>
    <x v="3"/>
    <x v="3"/>
    <x v="2"/>
  </r>
  <r>
    <x v="495"/>
    <x v="19"/>
    <x v="1"/>
    <n v="27.7"/>
    <x v="466"/>
    <x v="21"/>
    <d v="2025-01-23T00:00:00"/>
    <x v="2"/>
    <x v="0"/>
    <x v="1"/>
    <x v="0"/>
    <x v="13"/>
    <x v="3"/>
    <x v="3"/>
    <x v="2"/>
  </r>
  <r>
    <x v="496"/>
    <x v="10"/>
    <x v="4"/>
    <n v="20.8"/>
    <x v="467"/>
    <x v="21"/>
    <d v="2025-01-23T00:00:00"/>
    <x v="1"/>
    <x v="3"/>
    <x v="0"/>
    <x v="0"/>
    <x v="13"/>
    <x v="3"/>
    <x v="3"/>
    <x v="1"/>
  </r>
  <r>
    <x v="497"/>
    <x v="11"/>
    <x v="1"/>
    <n v="72.7"/>
    <x v="468"/>
    <x v="21"/>
    <d v="2025-01-26T00:00:00"/>
    <x v="2"/>
    <x v="4"/>
    <x v="2"/>
    <x v="0"/>
    <x v="44"/>
    <x v="5"/>
    <x v="3"/>
    <x v="2"/>
  </r>
  <r>
    <x v="498"/>
    <x v="10"/>
    <x v="12"/>
    <n v="38.6"/>
    <x v="55"/>
    <x v="21"/>
    <d v="2025-01-23T00:00:00"/>
    <x v="1"/>
    <x v="0"/>
    <x v="2"/>
    <x v="0"/>
    <x v="22"/>
    <x v="3"/>
    <x v="3"/>
    <x v="1"/>
  </r>
  <r>
    <x v="499"/>
    <x v="8"/>
    <x v="3"/>
    <n v="33.1"/>
    <x v="217"/>
    <x v="21"/>
    <d v="2025-01-23T00:00:00"/>
    <x v="3"/>
    <x v="4"/>
    <x v="3"/>
    <x v="0"/>
    <x v="3"/>
    <x v="3"/>
    <x v="3"/>
    <x v="3"/>
  </r>
  <r>
    <x v="500"/>
    <x v="10"/>
    <x v="1"/>
    <n v="30.5"/>
    <x v="170"/>
    <x v="21"/>
    <d v="2025-01-22T00:00:00"/>
    <x v="0"/>
    <x v="1"/>
    <x v="1"/>
    <x v="0"/>
    <x v="3"/>
    <x v="7"/>
    <x v="3"/>
    <x v="0"/>
  </r>
  <r>
    <x v="501"/>
    <x v="9"/>
    <x v="1"/>
    <n v="69.599999999999994"/>
    <x v="388"/>
    <x v="21"/>
    <d v="2025-01-23T00:00:00"/>
    <x v="1"/>
    <x v="0"/>
    <x v="1"/>
    <x v="0"/>
    <x v="3"/>
    <x v="3"/>
    <x v="3"/>
    <x v="1"/>
  </r>
  <r>
    <x v="502"/>
    <x v="11"/>
    <x v="0"/>
    <n v="42.4"/>
    <x v="469"/>
    <x v="21"/>
    <d v="2025-01-26T00:00:00"/>
    <x v="2"/>
    <x v="1"/>
    <x v="0"/>
    <x v="0"/>
    <x v="3"/>
    <x v="5"/>
    <x v="3"/>
    <x v="2"/>
  </r>
  <r>
    <x v="503"/>
    <x v="17"/>
    <x v="0"/>
    <n v="32.200000000000003"/>
    <x v="390"/>
    <x v="21"/>
    <d v="2025-01-25T00:00:00"/>
    <x v="2"/>
    <x v="2"/>
    <x v="1"/>
    <x v="0"/>
    <x v="3"/>
    <x v="2"/>
    <x v="3"/>
    <x v="2"/>
  </r>
  <r>
    <x v="504"/>
    <x v="6"/>
    <x v="1"/>
    <n v="41.5"/>
    <x v="470"/>
    <x v="21"/>
    <d v="2025-01-25T00:00:00"/>
    <x v="2"/>
    <x v="0"/>
    <x v="2"/>
    <x v="0"/>
    <x v="3"/>
    <x v="2"/>
    <x v="3"/>
    <x v="2"/>
  </r>
  <r>
    <x v="505"/>
    <x v="16"/>
    <x v="11"/>
    <n v="58.9"/>
    <x v="471"/>
    <x v="21"/>
    <d v="2025-01-26T00:00:00"/>
    <x v="2"/>
    <x v="3"/>
    <x v="0"/>
    <x v="0"/>
    <x v="3"/>
    <x v="5"/>
    <x v="3"/>
    <x v="2"/>
  </r>
  <r>
    <x v="506"/>
    <x v="2"/>
    <x v="0"/>
    <n v="57.1"/>
    <x v="472"/>
    <x v="21"/>
    <d v="2025-01-25T00:00:00"/>
    <x v="2"/>
    <x v="1"/>
    <x v="0"/>
    <x v="0"/>
    <x v="3"/>
    <x v="2"/>
    <x v="3"/>
    <x v="2"/>
  </r>
  <r>
    <x v="507"/>
    <x v="6"/>
    <x v="0"/>
    <n v="57.2"/>
    <x v="473"/>
    <x v="21"/>
    <d v="2025-01-24T00:00:00"/>
    <x v="1"/>
    <x v="1"/>
    <x v="0"/>
    <x v="0"/>
    <x v="3"/>
    <x v="1"/>
    <x v="3"/>
    <x v="1"/>
  </r>
  <r>
    <x v="508"/>
    <x v="8"/>
    <x v="1"/>
    <n v="35.1"/>
    <x v="474"/>
    <x v="21"/>
    <d v="2025-01-23T00:00:00"/>
    <x v="1"/>
    <x v="1"/>
    <x v="0"/>
    <x v="0"/>
    <x v="6"/>
    <x v="3"/>
    <x v="3"/>
    <x v="1"/>
  </r>
  <r>
    <x v="509"/>
    <x v="1"/>
    <x v="0"/>
    <n v="52.1"/>
    <x v="475"/>
    <x v="21"/>
    <d v="2025-01-24T00:00:00"/>
    <x v="2"/>
    <x v="4"/>
    <x v="1"/>
    <x v="0"/>
    <x v="8"/>
    <x v="1"/>
    <x v="3"/>
    <x v="2"/>
  </r>
  <r>
    <x v="510"/>
    <x v="13"/>
    <x v="2"/>
    <n v="59.8"/>
    <x v="476"/>
    <x v="21"/>
    <d v="2025-01-24T00:00:00"/>
    <x v="2"/>
    <x v="4"/>
    <x v="1"/>
    <x v="0"/>
    <x v="8"/>
    <x v="1"/>
    <x v="3"/>
    <x v="2"/>
  </r>
  <r>
    <x v="511"/>
    <x v="3"/>
    <x v="12"/>
    <n v="83.3"/>
    <x v="477"/>
    <x v="21"/>
    <d v="2025-01-22T00:00:00"/>
    <x v="0"/>
    <x v="2"/>
    <x v="0"/>
    <x v="0"/>
    <x v="8"/>
    <x v="7"/>
    <x v="3"/>
    <x v="0"/>
  </r>
  <r>
    <x v="512"/>
    <x v="15"/>
    <x v="4"/>
    <n v="41.3"/>
    <x v="478"/>
    <x v="21"/>
    <d v="2025-01-23T00:00:00"/>
    <x v="2"/>
    <x v="1"/>
    <x v="0"/>
    <x v="0"/>
    <x v="8"/>
    <x v="3"/>
    <x v="3"/>
    <x v="2"/>
  </r>
  <r>
    <x v="513"/>
    <x v="8"/>
    <x v="9"/>
    <n v="16"/>
    <x v="479"/>
    <x v="21"/>
    <d v="2025-01-24T00:00:00"/>
    <x v="1"/>
    <x v="4"/>
    <x v="1"/>
    <x v="0"/>
    <x v="9"/>
    <x v="1"/>
    <x v="3"/>
    <x v="1"/>
  </r>
  <r>
    <x v="514"/>
    <x v="10"/>
    <x v="1"/>
    <n v="20.8"/>
    <x v="480"/>
    <x v="22"/>
    <d v="2025-01-25T00:00:00"/>
    <x v="1"/>
    <x v="0"/>
    <x v="2"/>
    <x v="0"/>
    <x v="11"/>
    <x v="1"/>
    <x v="3"/>
    <x v="1"/>
  </r>
  <r>
    <x v="515"/>
    <x v="8"/>
    <x v="31"/>
    <n v="27.1"/>
    <x v="481"/>
    <x v="22"/>
    <d v="2025-01-24T00:00:00"/>
    <x v="0"/>
    <x v="3"/>
    <x v="2"/>
    <x v="0"/>
    <x v="11"/>
    <x v="3"/>
    <x v="3"/>
    <x v="0"/>
  </r>
  <r>
    <x v="516"/>
    <x v="10"/>
    <x v="1"/>
    <n v="38.9"/>
    <x v="482"/>
    <x v="22"/>
    <d v="2025-01-25T00:00:00"/>
    <x v="2"/>
    <x v="0"/>
    <x v="0"/>
    <x v="0"/>
    <x v="18"/>
    <x v="1"/>
    <x v="3"/>
    <x v="2"/>
  </r>
  <r>
    <x v="517"/>
    <x v="0"/>
    <x v="1"/>
    <n v="10.8"/>
    <x v="483"/>
    <x v="22"/>
    <d v="2025-01-26T00:00:00"/>
    <x v="2"/>
    <x v="1"/>
    <x v="2"/>
    <x v="0"/>
    <x v="45"/>
    <x v="2"/>
    <x v="3"/>
    <x v="2"/>
  </r>
  <r>
    <x v="518"/>
    <x v="4"/>
    <x v="15"/>
    <n v="48.4"/>
    <x v="484"/>
    <x v="22"/>
    <d v="2025-01-27T00:00:00"/>
    <x v="2"/>
    <x v="0"/>
    <x v="0"/>
    <x v="0"/>
    <x v="21"/>
    <x v="5"/>
    <x v="3"/>
    <x v="2"/>
  </r>
  <r>
    <x v="519"/>
    <x v="4"/>
    <x v="2"/>
    <n v="29.2"/>
    <x v="485"/>
    <x v="22"/>
    <d v="2025-01-26T00:00:00"/>
    <x v="2"/>
    <x v="1"/>
    <x v="1"/>
    <x v="0"/>
    <x v="2"/>
    <x v="2"/>
    <x v="3"/>
    <x v="2"/>
  </r>
  <r>
    <x v="520"/>
    <x v="4"/>
    <x v="1"/>
    <n v="25.1"/>
    <x v="486"/>
    <x v="22"/>
    <d v="2025-01-24T00:00:00"/>
    <x v="1"/>
    <x v="0"/>
    <x v="1"/>
    <x v="0"/>
    <x v="2"/>
    <x v="3"/>
    <x v="3"/>
    <x v="1"/>
  </r>
  <r>
    <x v="521"/>
    <x v="7"/>
    <x v="2"/>
    <n v="65.599999999999994"/>
    <x v="487"/>
    <x v="22"/>
    <d v="2025-01-23T00:00:00"/>
    <x v="2"/>
    <x v="2"/>
    <x v="1"/>
    <x v="0"/>
    <x v="3"/>
    <x v="7"/>
    <x v="3"/>
    <x v="2"/>
  </r>
  <r>
    <x v="522"/>
    <x v="2"/>
    <x v="1"/>
    <n v="57.3"/>
    <x v="488"/>
    <x v="22"/>
    <d v="2025-01-23T00:00:00"/>
    <x v="0"/>
    <x v="0"/>
    <x v="0"/>
    <x v="0"/>
    <x v="3"/>
    <x v="7"/>
    <x v="3"/>
    <x v="0"/>
  </r>
  <r>
    <x v="523"/>
    <x v="9"/>
    <x v="12"/>
    <n v="22.4"/>
    <x v="70"/>
    <x v="22"/>
    <d v="2025-01-24T00:00:00"/>
    <x v="2"/>
    <x v="2"/>
    <x v="2"/>
    <x v="0"/>
    <x v="3"/>
    <x v="3"/>
    <x v="3"/>
    <x v="2"/>
  </r>
  <r>
    <x v="524"/>
    <x v="12"/>
    <x v="11"/>
    <n v="45.7"/>
    <x v="489"/>
    <x v="22"/>
    <d v="2025-01-24T00:00:00"/>
    <x v="2"/>
    <x v="0"/>
    <x v="0"/>
    <x v="0"/>
    <x v="3"/>
    <x v="3"/>
    <x v="3"/>
    <x v="2"/>
  </r>
  <r>
    <x v="525"/>
    <x v="8"/>
    <x v="1"/>
    <n v="29.3"/>
    <x v="150"/>
    <x v="22"/>
    <d v="2025-01-24T00:00:00"/>
    <x v="1"/>
    <x v="1"/>
    <x v="0"/>
    <x v="0"/>
    <x v="3"/>
    <x v="3"/>
    <x v="3"/>
    <x v="1"/>
  </r>
  <r>
    <x v="526"/>
    <x v="18"/>
    <x v="32"/>
    <n v="74"/>
    <x v="490"/>
    <x v="22"/>
    <d v="2025-01-24T00:00:00"/>
    <x v="1"/>
    <x v="0"/>
    <x v="2"/>
    <x v="0"/>
    <x v="3"/>
    <x v="3"/>
    <x v="3"/>
    <x v="1"/>
  </r>
  <r>
    <x v="527"/>
    <x v="14"/>
    <x v="1"/>
    <n v="39.200000000000003"/>
    <x v="491"/>
    <x v="22"/>
    <d v="2025-01-25T00:00:00"/>
    <x v="2"/>
    <x v="1"/>
    <x v="0"/>
    <x v="0"/>
    <x v="3"/>
    <x v="1"/>
    <x v="3"/>
    <x v="2"/>
  </r>
  <r>
    <x v="528"/>
    <x v="4"/>
    <x v="14"/>
    <n v="62.7"/>
    <x v="492"/>
    <x v="22"/>
    <d v="2025-01-24T00:00:00"/>
    <x v="2"/>
    <x v="2"/>
    <x v="1"/>
    <x v="0"/>
    <x v="3"/>
    <x v="3"/>
    <x v="3"/>
    <x v="2"/>
  </r>
  <r>
    <x v="529"/>
    <x v="10"/>
    <x v="1"/>
    <n v="60.1"/>
    <x v="493"/>
    <x v="22"/>
    <d v="2025-01-24T00:00:00"/>
    <x v="2"/>
    <x v="3"/>
    <x v="0"/>
    <x v="0"/>
    <x v="3"/>
    <x v="3"/>
    <x v="3"/>
    <x v="2"/>
  </r>
  <r>
    <x v="530"/>
    <x v="0"/>
    <x v="12"/>
    <n v="11.2"/>
    <x v="438"/>
    <x v="22"/>
    <d v="2025-01-24T00:00:00"/>
    <x v="2"/>
    <x v="3"/>
    <x v="1"/>
    <x v="0"/>
    <x v="3"/>
    <x v="3"/>
    <x v="3"/>
    <x v="2"/>
  </r>
  <r>
    <x v="531"/>
    <x v="8"/>
    <x v="1"/>
    <n v="22.9"/>
    <x v="494"/>
    <x v="22"/>
    <d v="2025-01-24T00:00:00"/>
    <x v="2"/>
    <x v="0"/>
    <x v="0"/>
    <x v="0"/>
    <x v="6"/>
    <x v="3"/>
    <x v="3"/>
    <x v="2"/>
  </r>
  <r>
    <x v="532"/>
    <x v="1"/>
    <x v="1"/>
    <n v="37.6"/>
    <x v="495"/>
    <x v="22"/>
    <d v="2025-01-26T00:00:00"/>
    <x v="2"/>
    <x v="0"/>
    <x v="0"/>
    <x v="0"/>
    <x v="6"/>
    <x v="2"/>
    <x v="3"/>
    <x v="2"/>
  </r>
  <r>
    <x v="533"/>
    <x v="6"/>
    <x v="0"/>
    <n v="42.4"/>
    <x v="469"/>
    <x v="22"/>
    <d v="2025-01-24T00:00:00"/>
    <x v="2"/>
    <x v="3"/>
    <x v="2"/>
    <x v="0"/>
    <x v="6"/>
    <x v="3"/>
    <x v="3"/>
    <x v="2"/>
  </r>
  <r>
    <x v="534"/>
    <x v="8"/>
    <x v="1"/>
    <n v="19.600000000000001"/>
    <x v="496"/>
    <x v="22"/>
    <d v="2025-01-27T00:00:00"/>
    <x v="2"/>
    <x v="2"/>
    <x v="0"/>
    <x v="0"/>
    <x v="7"/>
    <x v="5"/>
    <x v="3"/>
    <x v="2"/>
  </r>
  <r>
    <x v="535"/>
    <x v="9"/>
    <x v="0"/>
    <n v="90.5"/>
    <x v="497"/>
    <x v="22"/>
    <d v="2025-01-26T00:00:00"/>
    <x v="2"/>
    <x v="2"/>
    <x v="0"/>
    <x v="0"/>
    <x v="7"/>
    <x v="2"/>
    <x v="3"/>
    <x v="2"/>
  </r>
  <r>
    <x v="536"/>
    <x v="16"/>
    <x v="5"/>
    <n v="33.9"/>
    <x v="498"/>
    <x v="22"/>
    <d v="2025-01-24T00:00:00"/>
    <x v="1"/>
    <x v="2"/>
    <x v="1"/>
    <x v="0"/>
    <x v="7"/>
    <x v="3"/>
    <x v="3"/>
    <x v="1"/>
  </r>
  <r>
    <x v="537"/>
    <x v="0"/>
    <x v="1"/>
    <n v="32.799999999999997"/>
    <x v="499"/>
    <x v="22"/>
    <d v="2025-01-25T00:00:00"/>
    <x v="2"/>
    <x v="4"/>
    <x v="4"/>
    <x v="0"/>
    <x v="8"/>
    <x v="1"/>
    <x v="3"/>
    <x v="2"/>
  </r>
  <r>
    <x v="538"/>
    <x v="15"/>
    <x v="0"/>
    <n v="49.9"/>
    <x v="500"/>
    <x v="22"/>
    <d v="2025-01-24T00:00:00"/>
    <x v="1"/>
    <x v="3"/>
    <x v="1"/>
    <x v="0"/>
    <x v="8"/>
    <x v="3"/>
    <x v="3"/>
    <x v="1"/>
  </r>
  <r>
    <x v="539"/>
    <x v="7"/>
    <x v="9"/>
    <n v="79.2"/>
    <x v="501"/>
    <x v="22"/>
    <d v="2025-01-24T00:00:00"/>
    <x v="2"/>
    <x v="4"/>
    <x v="0"/>
    <x v="0"/>
    <x v="8"/>
    <x v="3"/>
    <x v="3"/>
    <x v="2"/>
  </r>
  <r>
    <x v="540"/>
    <x v="8"/>
    <x v="27"/>
    <n v="19.5"/>
    <x v="502"/>
    <x v="22"/>
    <d v="2025-01-25T00:00:00"/>
    <x v="1"/>
    <x v="3"/>
    <x v="2"/>
    <x v="0"/>
    <x v="8"/>
    <x v="1"/>
    <x v="3"/>
    <x v="1"/>
  </r>
  <r>
    <x v="541"/>
    <x v="8"/>
    <x v="12"/>
    <n v="18"/>
    <x v="503"/>
    <x v="22"/>
    <d v="2025-01-24T00:00:00"/>
    <x v="1"/>
    <x v="1"/>
    <x v="0"/>
    <x v="0"/>
    <x v="10"/>
    <x v="3"/>
    <x v="3"/>
    <x v="1"/>
  </r>
  <r>
    <x v="542"/>
    <x v="9"/>
    <x v="2"/>
    <n v="45.9"/>
    <x v="223"/>
    <x v="22"/>
    <d v="2025-01-25T00:00:00"/>
    <x v="2"/>
    <x v="1"/>
    <x v="1"/>
    <x v="0"/>
    <x v="10"/>
    <x v="1"/>
    <x v="3"/>
    <x v="2"/>
  </r>
  <r>
    <x v="543"/>
    <x v="11"/>
    <x v="0"/>
    <n v="41.2"/>
    <x v="504"/>
    <x v="22"/>
    <d v="2025-01-25T00:00:00"/>
    <x v="2"/>
    <x v="1"/>
    <x v="2"/>
    <x v="0"/>
    <x v="11"/>
    <x v="1"/>
    <x v="3"/>
    <x v="2"/>
  </r>
  <r>
    <x v="544"/>
    <x v="2"/>
    <x v="7"/>
    <n v="167.2"/>
    <x v="505"/>
    <x v="22"/>
    <d v="2025-01-25T00:00:00"/>
    <x v="2"/>
    <x v="2"/>
    <x v="2"/>
    <x v="0"/>
    <x v="32"/>
    <x v="1"/>
    <x v="3"/>
    <x v="2"/>
  </r>
  <r>
    <x v="545"/>
    <x v="6"/>
    <x v="17"/>
    <n v="74.5"/>
    <x v="506"/>
    <x v="23"/>
    <d v="2025-01-27T00:00:00"/>
    <x v="2"/>
    <x v="1"/>
    <x v="2"/>
    <x v="0"/>
    <x v="38"/>
    <x v="2"/>
    <x v="3"/>
    <x v="2"/>
  </r>
  <r>
    <x v="546"/>
    <x v="7"/>
    <x v="12"/>
    <n v="39.299999999999997"/>
    <x v="507"/>
    <x v="23"/>
    <d v="2025-01-25T00:00:00"/>
    <x v="0"/>
    <x v="2"/>
    <x v="0"/>
    <x v="0"/>
    <x v="19"/>
    <x v="3"/>
    <x v="3"/>
    <x v="0"/>
  </r>
  <r>
    <x v="547"/>
    <x v="9"/>
    <x v="0"/>
    <n v="68.5"/>
    <x v="508"/>
    <x v="23"/>
    <d v="2025-01-27T00:00:00"/>
    <x v="1"/>
    <x v="1"/>
    <x v="2"/>
    <x v="0"/>
    <x v="12"/>
    <x v="2"/>
    <x v="3"/>
    <x v="1"/>
  </r>
  <r>
    <x v="548"/>
    <x v="0"/>
    <x v="2"/>
    <n v="22.5"/>
    <x v="509"/>
    <x v="23"/>
    <d v="2025-01-24T00:00:00"/>
    <x v="2"/>
    <x v="4"/>
    <x v="0"/>
    <x v="0"/>
    <x v="13"/>
    <x v="7"/>
    <x v="3"/>
    <x v="2"/>
  </r>
  <r>
    <x v="549"/>
    <x v="1"/>
    <x v="0"/>
    <n v="48"/>
    <x v="510"/>
    <x v="23"/>
    <d v="2025-01-25T00:00:00"/>
    <x v="3"/>
    <x v="4"/>
    <x v="1"/>
    <x v="0"/>
    <x v="46"/>
    <x v="3"/>
    <x v="3"/>
    <x v="3"/>
  </r>
  <r>
    <x v="550"/>
    <x v="6"/>
    <x v="0"/>
    <n v="94"/>
    <x v="255"/>
    <x v="23"/>
    <d v="2025-01-25T00:00:00"/>
    <x v="1"/>
    <x v="3"/>
    <x v="1"/>
    <x v="0"/>
    <x v="1"/>
    <x v="3"/>
    <x v="3"/>
    <x v="1"/>
  </r>
  <r>
    <x v="551"/>
    <x v="8"/>
    <x v="2"/>
    <n v="21.9"/>
    <x v="511"/>
    <x v="23"/>
    <d v="2025-01-25T00:00:00"/>
    <x v="2"/>
    <x v="0"/>
    <x v="0"/>
    <x v="0"/>
    <x v="44"/>
    <x v="3"/>
    <x v="3"/>
    <x v="2"/>
  </r>
  <r>
    <x v="552"/>
    <x v="6"/>
    <x v="3"/>
    <n v="64.900000000000006"/>
    <x v="512"/>
    <x v="23"/>
    <d v="2025-01-25T00:00:00"/>
    <x v="2"/>
    <x v="0"/>
    <x v="0"/>
    <x v="0"/>
    <x v="3"/>
    <x v="3"/>
    <x v="3"/>
    <x v="2"/>
  </r>
  <r>
    <x v="553"/>
    <x v="12"/>
    <x v="0"/>
    <n v="52.9"/>
    <x v="513"/>
    <x v="23"/>
    <d v="2025-01-24T00:00:00"/>
    <x v="2"/>
    <x v="1"/>
    <x v="1"/>
    <x v="0"/>
    <x v="3"/>
    <x v="7"/>
    <x v="3"/>
    <x v="2"/>
  </r>
  <r>
    <x v="554"/>
    <x v="8"/>
    <x v="2"/>
    <n v="25.5"/>
    <x v="514"/>
    <x v="23"/>
    <d v="2025-01-25T00:00:00"/>
    <x v="2"/>
    <x v="1"/>
    <x v="2"/>
    <x v="0"/>
    <x v="3"/>
    <x v="3"/>
    <x v="3"/>
    <x v="2"/>
  </r>
  <r>
    <x v="555"/>
    <x v="6"/>
    <x v="2"/>
    <n v="51.9"/>
    <x v="515"/>
    <x v="23"/>
    <d v="2025-01-25T00:00:00"/>
    <x v="2"/>
    <x v="3"/>
    <x v="0"/>
    <x v="0"/>
    <x v="3"/>
    <x v="3"/>
    <x v="3"/>
    <x v="2"/>
  </r>
  <r>
    <x v="556"/>
    <x v="5"/>
    <x v="0"/>
    <n v="46.3"/>
    <x v="516"/>
    <x v="23"/>
    <d v="2025-01-27T00:00:00"/>
    <x v="2"/>
    <x v="4"/>
    <x v="0"/>
    <x v="0"/>
    <x v="3"/>
    <x v="2"/>
    <x v="3"/>
    <x v="2"/>
  </r>
  <r>
    <x v="557"/>
    <x v="6"/>
    <x v="1"/>
    <n v="68.2"/>
    <x v="517"/>
    <x v="23"/>
    <d v="2025-01-26T00:00:00"/>
    <x v="2"/>
    <x v="3"/>
    <x v="0"/>
    <x v="0"/>
    <x v="3"/>
    <x v="1"/>
    <x v="3"/>
    <x v="2"/>
  </r>
  <r>
    <x v="558"/>
    <x v="1"/>
    <x v="0"/>
    <n v="40.299999999999997"/>
    <x v="518"/>
    <x v="23"/>
    <d v="2025-01-25T00:00:00"/>
    <x v="1"/>
    <x v="0"/>
    <x v="1"/>
    <x v="0"/>
    <x v="3"/>
    <x v="3"/>
    <x v="3"/>
    <x v="1"/>
  </r>
  <r>
    <x v="559"/>
    <x v="2"/>
    <x v="2"/>
    <n v="91.3"/>
    <x v="54"/>
    <x v="23"/>
    <d v="2025-01-29T00:00:00"/>
    <x v="1"/>
    <x v="0"/>
    <x v="2"/>
    <x v="0"/>
    <x v="6"/>
    <x v="0"/>
    <x v="3"/>
    <x v="1"/>
  </r>
  <r>
    <x v="560"/>
    <x v="0"/>
    <x v="2"/>
    <n v="11.9"/>
    <x v="519"/>
    <x v="23"/>
    <d v="2025-01-25T00:00:00"/>
    <x v="2"/>
    <x v="0"/>
    <x v="1"/>
    <x v="0"/>
    <x v="6"/>
    <x v="3"/>
    <x v="3"/>
    <x v="2"/>
  </r>
  <r>
    <x v="561"/>
    <x v="2"/>
    <x v="1"/>
    <n v="63.5"/>
    <x v="520"/>
    <x v="23"/>
    <d v="2025-01-26T00:00:00"/>
    <x v="1"/>
    <x v="1"/>
    <x v="0"/>
    <x v="0"/>
    <x v="6"/>
    <x v="1"/>
    <x v="3"/>
    <x v="1"/>
  </r>
  <r>
    <x v="562"/>
    <x v="4"/>
    <x v="1"/>
    <n v="27.1"/>
    <x v="521"/>
    <x v="23"/>
    <d v="2025-01-27T00:00:00"/>
    <x v="1"/>
    <x v="2"/>
    <x v="2"/>
    <x v="0"/>
    <x v="6"/>
    <x v="2"/>
    <x v="3"/>
    <x v="1"/>
  </r>
  <r>
    <x v="563"/>
    <x v="1"/>
    <x v="1"/>
    <n v="82.1"/>
    <x v="522"/>
    <x v="24"/>
    <d v="2025-01-28T00:00:00"/>
    <x v="1"/>
    <x v="1"/>
    <x v="1"/>
    <x v="0"/>
    <x v="7"/>
    <x v="2"/>
    <x v="3"/>
    <x v="1"/>
  </r>
  <r>
    <x v="564"/>
    <x v="3"/>
    <x v="9"/>
    <n v="42.9"/>
    <x v="523"/>
    <x v="24"/>
    <d v="2025-01-27T00:00:00"/>
    <x v="2"/>
    <x v="1"/>
    <x v="0"/>
    <x v="0"/>
    <x v="8"/>
    <x v="1"/>
    <x v="3"/>
    <x v="2"/>
  </r>
  <r>
    <x v="565"/>
    <x v="8"/>
    <x v="5"/>
    <n v="37.9"/>
    <x v="524"/>
    <x v="24"/>
    <d v="2025-02-01T00:00:00"/>
    <x v="1"/>
    <x v="0"/>
    <x v="0"/>
    <x v="0"/>
    <x v="8"/>
    <x v="6"/>
    <x v="3"/>
    <x v="1"/>
  </r>
  <r>
    <x v="566"/>
    <x v="0"/>
    <x v="0"/>
    <n v="22.4"/>
    <x v="525"/>
    <x v="24"/>
    <d v="2025-01-26T00:00:00"/>
    <x v="2"/>
    <x v="0"/>
    <x v="1"/>
    <x v="0"/>
    <x v="17"/>
    <x v="3"/>
    <x v="3"/>
    <x v="2"/>
  </r>
  <r>
    <x v="567"/>
    <x v="2"/>
    <x v="15"/>
    <n v="79.900000000000006"/>
    <x v="526"/>
    <x v="24"/>
    <d v="2025-02-07T00:00:00"/>
    <x v="2"/>
    <x v="3"/>
    <x v="1"/>
    <x v="0"/>
    <x v="11"/>
    <x v="10"/>
    <x v="3"/>
    <x v="2"/>
  </r>
  <r>
    <x v="568"/>
    <x v="1"/>
    <x v="0"/>
    <n v="70.599999999999994"/>
    <x v="527"/>
    <x v="24"/>
    <d v="2025-01-28T00:00:00"/>
    <x v="2"/>
    <x v="0"/>
    <x v="1"/>
    <x v="0"/>
    <x v="11"/>
    <x v="2"/>
    <x v="3"/>
    <x v="2"/>
  </r>
  <r>
    <x v="569"/>
    <x v="6"/>
    <x v="0"/>
    <n v="49.5"/>
    <x v="528"/>
    <x v="24"/>
    <d v="2025-01-27T00:00:00"/>
    <x v="1"/>
    <x v="0"/>
    <x v="0"/>
    <x v="0"/>
    <x v="13"/>
    <x v="1"/>
    <x v="3"/>
    <x v="1"/>
  </r>
  <r>
    <x v="570"/>
    <x v="2"/>
    <x v="1"/>
    <n v="96.6"/>
    <x v="529"/>
    <x v="24"/>
    <d v="2025-01-27T00:00:00"/>
    <x v="1"/>
    <x v="0"/>
    <x v="0"/>
    <x v="0"/>
    <x v="21"/>
    <x v="1"/>
    <x v="3"/>
    <x v="1"/>
  </r>
  <r>
    <x v="571"/>
    <x v="6"/>
    <x v="1"/>
    <n v="52.8"/>
    <x v="142"/>
    <x v="24"/>
    <d v="2025-01-26T00:00:00"/>
    <x v="2"/>
    <x v="1"/>
    <x v="1"/>
    <x v="0"/>
    <x v="21"/>
    <x v="3"/>
    <x v="3"/>
    <x v="2"/>
  </r>
  <r>
    <x v="572"/>
    <x v="2"/>
    <x v="0"/>
    <n v="101.7"/>
    <x v="530"/>
    <x v="24"/>
    <d v="2025-01-26T00:00:00"/>
    <x v="1"/>
    <x v="0"/>
    <x v="0"/>
    <x v="0"/>
    <x v="1"/>
    <x v="3"/>
    <x v="3"/>
    <x v="1"/>
  </r>
  <r>
    <x v="573"/>
    <x v="4"/>
    <x v="9"/>
    <n v="26.9"/>
    <x v="531"/>
    <x v="24"/>
    <d v="2025-01-30T00:00:00"/>
    <x v="2"/>
    <x v="1"/>
    <x v="1"/>
    <x v="0"/>
    <x v="22"/>
    <x v="0"/>
    <x v="3"/>
    <x v="2"/>
  </r>
  <r>
    <x v="574"/>
    <x v="2"/>
    <x v="12"/>
    <n v="211"/>
    <x v="532"/>
    <x v="24"/>
    <d v="2025-01-25T00:00:00"/>
    <x v="2"/>
    <x v="1"/>
    <x v="1"/>
    <x v="0"/>
    <x v="3"/>
    <x v="7"/>
    <x v="3"/>
    <x v="2"/>
  </r>
  <r>
    <x v="575"/>
    <x v="0"/>
    <x v="12"/>
    <n v="21.1"/>
    <x v="533"/>
    <x v="24"/>
    <d v="2025-01-28T00:00:00"/>
    <x v="1"/>
    <x v="4"/>
    <x v="0"/>
    <x v="0"/>
    <x v="3"/>
    <x v="2"/>
    <x v="3"/>
    <x v="1"/>
  </r>
  <r>
    <x v="576"/>
    <x v="10"/>
    <x v="0"/>
    <n v="26.6"/>
    <x v="534"/>
    <x v="24"/>
    <d v="2025-01-27T00:00:00"/>
    <x v="1"/>
    <x v="0"/>
    <x v="4"/>
    <x v="0"/>
    <x v="3"/>
    <x v="1"/>
    <x v="3"/>
    <x v="1"/>
  </r>
  <r>
    <x v="577"/>
    <x v="12"/>
    <x v="12"/>
    <n v="51.2"/>
    <x v="403"/>
    <x v="24"/>
    <d v="2025-01-26T00:00:00"/>
    <x v="2"/>
    <x v="3"/>
    <x v="0"/>
    <x v="0"/>
    <x v="47"/>
    <x v="3"/>
    <x v="3"/>
    <x v="2"/>
  </r>
  <r>
    <x v="578"/>
    <x v="0"/>
    <x v="9"/>
    <n v="10.6"/>
    <x v="535"/>
    <x v="24"/>
    <d v="2025-01-29T00:00:00"/>
    <x v="2"/>
    <x v="0"/>
    <x v="0"/>
    <x v="0"/>
    <x v="8"/>
    <x v="5"/>
    <x v="3"/>
    <x v="2"/>
  </r>
  <r>
    <x v="579"/>
    <x v="6"/>
    <x v="2"/>
    <n v="43.4"/>
    <x v="33"/>
    <x v="24"/>
    <d v="2025-01-28T00:00:00"/>
    <x v="2"/>
    <x v="4"/>
    <x v="0"/>
    <x v="0"/>
    <x v="8"/>
    <x v="2"/>
    <x v="3"/>
    <x v="2"/>
  </r>
  <r>
    <x v="580"/>
    <x v="12"/>
    <x v="0"/>
    <n v="80"/>
    <x v="479"/>
    <x v="24"/>
    <d v="2025-01-25T00:00:00"/>
    <x v="2"/>
    <x v="0"/>
    <x v="2"/>
    <x v="0"/>
    <x v="8"/>
    <x v="7"/>
    <x v="3"/>
    <x v="2"/>
  </r>
  <r>
    <x v="581"/>
    <x v="10"/>
    <x v="12"/>
    <n v="64.7"/>
    <x v="536"/>
    <x v="24"/>
    <d v="2025-01-27T00:00:00"/>
    <x v="2"/>
    <x v="1"/>
    <x v="4"/>
    <x v="0"/>
    <x v="8"/>
    <x v="1"/>
    <x v="3"/>
    <x v="2"/>
  </r>
  <r>
    <x v="582"/>
    <x v="8"/>
    <x v="5"/>
    <n v="26.3"/>
    <x v="537"/>
    <x v="25"/>
    <d v="2025-01-26T00:00:00"/>
    <x v="2"/>
    <x v="4"/>
    <x v="1"/>
    <x v="0"/>
    <x v="26"/>
    <x v="7"/>
    <x v="4"/>
    <x v="2"/>
  </r>
  <r>
    <x v="583"/>
    <x v="10"/>
    <x v="0"/>
    <n v="28.5"/>
    <x v="425"/>
    <x v="25"/>
    <d v="2025-01-26T00:00:00"/>
    <x v="1"/>
    <x v="0"/>
    <x v="1"/>
    <x v="0"/>
    <x v="9"/>
    <x v="7"/>
    <x v="4"/>
    <x v="1"/>
  </r>
  <r>
    <x v="584"/>
    <x v="17"/>
    <x v="0"/>
    <n v="47.8"/>
    <x v="538"/>
    <x v="25"/>
    <d v="2025-01-28T00:00:00"/>
    <x v="2"/>
    <x v="0"/>
    <x v="1"/>
    <x v="0"/>
    <x v="9"/>
    <x v="1"/>
    <x v="4"/>
    <x v="2"/>
  </r>
  <r>
    <x v="585"/>
    <x v="10"/>
    <x v="2"/>
    <n v="42.8"/>
    <x v="539"/>
    <x v="25"/>
    <d v="2025-01-29T00:00:00"/>
    <x v="2"/>
    <x v="4"/>
    <x v="1"/>
    <x v="0"/>
    <x v="11"/>
    <x v="2"/>
    <x v="4"/>
    <x v="2"/>
  </r>
  <r>
    <x v="586"/>
    <x v="6"/>
    <x v="9"/>
    <n v="46.8"/>
    <x v="540"/>
    <x v="25"/>
    <d v="2025-01-31T00:00:00"/>
    <x v="2"/>
    <x v="1"/>
    <x v="2"/>
    <x v="0"/>
    <x v="11"/>
    <x v="0"/>
    <x v="4"/>
    <x v="2"/>
  </r>
  <r>
    <x v="587"/>
    <x v="1"/>
    <x v="7"/>
    <n v="64.099999999999994"/>
    <x v="541"/>
    <x v="25"/>
    <d v="2025-01-27T00:00:00"/>
    <x v="1"/>
    <x v="1"/>
    <x v="0"/>
    <x v="0"/>
    <x v="11"/>
    <x v="3"/>
    <x v="4"/>
    <x v="1"/>
  </r>
  <r>
    <x v="588"/>
    <x v="2"/>
    <x v="0"/>
    <n v="89.1"/>
    <x v="542"/>
    <x v="25"/>
    <d v="2025-01-27T00:00:00"/>
    <x v="2"/>
    <x v="0"/>
    <x v="1"/>
    <x v="0"/>
    <x v="20"/>
    <x v="3"/>
    <x v="4"/>
    <x v="2"/>
  </r>
  <r>
    <x v="589"/>
    <x v="2"/>
    <x v="2"/>
    <n v="83.1"/>
    <x v="543"/>
    <x v="25"/>
    <d v="2025-01-27T00:00:00"/>
    <x v="2"/>
    <x v="2"/>
    <x v="1"/>
    <x v="0"/>
    <x v="13"/>
    <x v="3"/>
    <x v="4"/>
    <x v="2"/>
  </r>
  <r>
    <x v="590"/>
    <x v="8"/>
    <x v="2"/>
    <n v="40.9"/>
    <x v="544"/>
    <x v="25"/>
    <d v="2025-01-27T00:00:00"/>
    <x v="1"/>
    <x v="0"/>
    <x v="0"/>
    <x v="0"/>
    <x v="1"/>
    <x v="3"/>
    <x v="4"/>
    <x v="1"/>
  </r>
  <r>
    <x v="591"/>
    <x v="2"/>
    <x v="1"/>
    <n v="125.7"/>
    <x v="545"/>
    <x v="25"/>
    <d v="2025-01-27T00:00:00"/>
    <x v="2"/>
    <x v="3"/>
    <x v="0"/>
    <x v="0"/>
    <x v="2"/>
    <x v="3"/>
    <x v="4"/>
    <x v="2"/>
  </r>
  <r>
    <x v="592"/>
    <x v="3"/>
    <x v="1"/>
    <n v="30.9"/>
    <x v="546"/>
    <x v="25"/>
    <d v="2025-01-26T00:00:00"/>
    <x v="2"/>
    <x v="2"/>
    <x v="2"/>
    <x v="0"/>
    <x v="22"/>
    <x v="7"/>
    <x v="4"/>
    <x v="2"/>
  </r>
  <r>
    <x v="593"/>
    <x v="8"/>
    <x v="1"/>
    <n v="18.3"/>
    <x v="547"/>
    <x v="25"/>
    <d v="2025-01-27T00:00:00"/>
    <x v="2"/>
    <x v="1"/>
    <x v="0"/>
    <x v="0"/>
    <x v="3"/>
    <x v="3"/>
    <x v="4"/>
    <x v="2"/>
  </r>
  <r>
    <x v="594"/>
    <x v="4"/>
    <x v="1"/>
    <n v="56.5"/>
    <x v="548"/>
    <x v="25"/>
    <d v="2025-01-30T00:00:00"/>
    <x v="1"/>
    <x v="2"/>
    <x v="2"/>
    <x v="0"/>
    <x v="3"/>
    <x v="5"/>
    <x v="4"/>
    <x v="1"/>
  </r>
  <r>
    <x v="595"/>
    <x v="10"/>
    <x v="3"/>
    <n v="29.9"/>
    <x v="549"/>
    <x v="25"/>
    <d v="2025-01-28T00:00:00"/>
    <x v="1"/>
    <x v="4"/>
    <x v="2"/>
    <x v="0"/>
    <x v="3"/>
    <x v="1"/>
    <x v="4"/>
    <x v="1"/>
  </r>
  <r>
    <x v="596"/>
    <x v="5"/>
    <x v="1"/>
    <n v="50.4"/>
    <x v="90"/>
    <x v="25"/>
    <d v="2025-01-27T00:00:00"/>
    <x v="2"/>
    <x v="2"/>
    <x v="0"/>
    <x v="0"/>
    <x v="3"/>
    <x v="3"/>
    <x v="4"/>
    <x v="2"/>
  </r>
  <r>
    <x v="597"/>
    <x v="2"/>
    <x v="0"/>
    <n v="85.8"/>
    <x v="550"/>
    <x v="25"/>
    <d v="2025-01-26T00:00:00"/>
    <x v="2"/>
    <x v="2"/>
    <x v="2"/>
    <x v="0"/>
    <x v="3"/>
    <x v="7"/>
    <x v="4"/>
    <x v="2"/>
  </r>
  <r>
    <x v="598"/>
    <x v="4"/>
    <x v="27"/>
    <n v="66.599999999999994"/>
    <x v="551"/>
    <x v="25"/>
    <d v="2025-01-28T00:00:00"/>
    <x v="1"/>
    <x v="1"/>
    <x v="0"/>
    <x v="0"/>
    <x v="3"/>
    <x v="1"/>
    <x v="4"/>
    <x v="1"/>
  </r>
  <r>
    <x v="599"/>
    <x v="6"/>
    <x v="12"/>
    <n v="70.3"/>
    <x v="552"/>
    <x v="25"/>
    <d v="2025-01-27T00:00:00"/>
    <x v="2"/>
    <x v="0"/>
    <x v="1"/>
    <x v="0"/>
    <x v="3"/>
    <x v="3"/>
    <x v="4"/>
    <x v="2"/>
  </r>
  <r>
    <x v="600"/>
    <x v="8"/>
    <x v="12"/>
    <n v="31"/>
    <x v="553"/>
    <x v="25"/>
    <d v="2025-01-29T00:00:00"/>
    <x v="1"/>
    <x v="0"/>
    <x v="2"/>
    <x v="0"/>
    <x v="3"/>
    <x v="2"/>
    <x v="4"/>
    <x v="1"/>
  </r>
  <r>
    <x v="601"/>
    <x v="7"/>
    <x v="13"/>
    <n v="81.599999999999994"/>
    <x v="554"/>
    <x v="25"/>
    <d v="2025-01-27T00:00:00"/>
    <x v="2"/>
    <x v="1"/>
    <x v="1"/>
    <x v="0"/>
    <x v="37"/>
    <x v="3"/>
    <x v="4"/>
    <x v="2"/>
  </r>
  <r>
    <x v="602"/>
    <x v="1"/>
    <x v="30"/>
    <n v="58.3"/>
    <x v="555"/>
    <x v="25"/>
    <d v="2025-01-27T00:00:00"/>
    <x v="2"/>
    <x v="0"/>
    <x v="0"/>
    <x v="0"/>
    <x v="16"/>
    <x v="3"/>
    <x v="4"/>
    <x v="2"/>
  </r>
  <r>
    <x v="603"/>
    <x v="1"/>
    <x v="12"/>
    <n v="35.1"/>
    <x v="381"/>
    <x v="25"/>
    <d v="2025-01-28T00:00:00"/>
    <x v="1"/>
    <x v="0"/>
    <x v="2"/>
    <x v="0"/>
    <x v="8"/>
    <x v="1"/>
    <x v="4"/>
    <x v="1"/>
  </r>
  <r>
    <x v="604"/>
    <x v="2"/>
    <x v="0"/>
    <n v="80.2"/>
    <x v="556"/>
    <x v="25"/>
    <d v="2025-01-27T00:00:00"/>
    <x v="1"/>
    <x v="3"/>
    <x v="2"/>
    <x v="0"/>
    <x v="8"/>
    <x v="3"/>
    <x v="4"/>
    <x v="1"/>
  </r>
  <r>
    <x v="605"/>
    <x v="14"/>
    <x v="2"/>
    <n v="39.200000000000003"/>
    <x v="557"/>
    <x v="25"/>
    <d v="2025-01-28T00:00:00"/>
    <x v="2"/>
    <x v="1"/>
    <x v="0"/>
    <x v="0"/>
    <x v="9"/>
    <x v="1"/>
    <x v="4"/>
    <x v="2"/>
  </r>
  <r>
    <x v="606"/>
    <x v="0"/>
    <x v="1"/>
    <n v="15.4"/>
    <x v="558"/>
    <x v="25"/>
    <d v="2025-01-26T00:00:00"/>
    <x v="2"/>
    <x v="3"/>
    <x v="0"/>
    <x v="0"/>
    <x v="48"/>
    <x v="7"/>
    <x v="4"/>
    <x v="2"/>
  </r>
  <r>
    <x v="607"/>
    <x v="3"/>
    <x v="2"/>
    <n v="65.400000000000006"/>
    <x v="338"/>
    <x v="25"/>
    <d v="2025-01-29T00:00:00"/>
    <x v="1"/>
    <x v="3"/>
    <x v="0"/>
    <x v="0"/>
    <x v="18"/>
    <x v="2"/>
    <x v="4"/>
    <x v="1"/>
  </r>
  <r>
    <x v="608"/>
    <x v="1"/>
    <x v="8"/>
    <n v="63.2"/>
    <x v="559"/>
    <x v="25"/>
    <d v="2025-01-28T00:00:00"/>
    <x v="2"/>
    <x v="1"/>
    <x v="0"/>
    <x v="0"/>
    <x v="19"/>
    <x v="1"/>
    <x v="4"/>
    <x v="2"/>
  </r>
  <r>
    <x v="609"/>
    <x v="1"/>
    <x v="13"/>
    <n v="35.700000000000003"/>
    <x v="560"/>
    <x v="25"/>
    <d v="2025-01-30T00:00:00"/>
    <x v="2"/>
    <x v="4"/>
    <x v="1"/>
    <x v="0"/>
    <x v="19"/>
    <x v="5"/>
    <x v="4"/>
    <x v="2"/>
  </r>
  <r>
    <x v="610"/>
    <x v="0"/>
    <x v="28"/>
    <n v="26.2"/>
    <x v="561"/>
    <x v="25"/>
    <d v="2025-01-27T00:00:00"/>
    <x v="2"/>
    <x v="3"/>
    <x v="0"/>
    <x v="0"/>
    <x v="21"/>
    <x v="3"/>
    <x v="4"/>
    <x v="2"/>
  </r>
  <r>
    <x v="611"/>
    <x v="7"/>
    <x v="1"/>
    <n v="31"/>
    <x v="85"/>
    <x v="25"/>
    <d v="2025-01-27T00:00:00"/>
    <x v="2"/>
    <x v="0"/>
    <x v="2"/>
    <x v="0"/>
    <x v="1"/>
    <x v="3"/>
    <x v="4"/>
    <x v="2"/>
  </r>
  <r>
    <x v="612"/>
    <x v="8"/>
    <x v="12"/>
    <n v="37.700000000000003"/>
    <x v="562"/>
    <x v="25"/>
    <d v="2025-01-27T00:00:00"/>
    <x v="2"/>
    <x v="1"/>
    <x v="0"/>
    <x v="0"/>
    <x v="22"/>
    <x v="3"/>
    <x v="4"/>
    <x v="2"/>
  </r>
  <r>
    <x v="613"/>
    <x v="10"/>
    <x v="33"/>
    <n v="43.6"/>
    <x v="563"/>
    <x v="25"/>
    <d v="2025-01-28T00:00:00"/>
    <x v="2"/>
    <x v="4"/>
    <x v="1"/>
    <x v="0"/>
    <x v="3"/>
    <x v="1"/>
    <x v="4"/>
    <x v="2"/>
  </r>
  <r>
    <x v="614"/>
    <x v="9"/>
    <x v="12"/>
    <n v="26.5"/>
    <x v="101"/>
    <x v="25"/>
    <d v="2025-01-28T00:00:00"/>
    <x v="1"/>
    <x v="0"/>
    <x v="4"/>
    <x v="0"/>
    <x v="3"/>
    <x v="1"/>
    <x v="4"/>
    <x v="1"/>
  </r>
  <r>
    <x v="615"/>
    <x v="0"/>
    <x v="1"/>
    <n v="34.6"/>
    <x v="564"/>
    <x v="25"/>
    <d v="2025-01-27T00:00:00"/>
    <x v="1"/>
    <x v="4"/>
    <x v="1"/>
    <x v="0"/>
    <x v="3"/>
    <x v="3"/>
    <x v="4"/>
    <x v="1"/>
  </r>
  <r>
    <x v="616"/>
    <x v="8"/>
    <x v="1"/>
    <n v="58.2"/>
    <x v="565"/>
    <x v="25"/>
    <d v="2025-01-27T00:00:00"/>
    <x v="1"/>
    <x v="2"/>
    <x v="2"/>
    <x v="0"/>
    <x v="3"/>
    <x v="3"/>
    <x v="4"/>
    <x v="1"/>
  </r>
  <r>
    <x v="617"/>
    <x v="7"/>
    <x v="0"/>
    <n v="30.2"/>
    <x v="242"/>
    <x v="26"/>
    <d v="2025-01-28T00:00:00"/>
    <x v="2"/>
    <x v="2"/>
    <x v="1"/>
    <x v="0"/>
    <x v="3"/>
    <x v="3"/>
    <x v="4"/>
    <x v="2"/>
  </r>
  <r>
    <x v="618"/>
    <x v="1"/>
    <x v="7"/>
    <n v="53.2"/>
    <x v="566"/>
    <x v="26"/>
    <d v="2025-01-28T00:00:00"/>
    <x v="1"/>
    <x v="0"/>
    <x v="2"/>
    <x v="0"/>
    <x v="5"/>
    <x v="3"/>
    <x v="4"/>
    <x v="1"/>
  </r>
  <r>
    <x v="619"/>
    <x v="12"/>
    <x v="13"/>
    <n v="51.1"/>
    <x v="567"/>
    <x v="26"/>
    <d v="2025-01-27T00:00:00"/>
    <x v="1"/>
    <x v="1"/>
    <x v="2"/>
    <x v="0"/>
    <x v="5"/>
    <x v="7"/>
    <x v="4"/>
    <x v="1"/>
  </r>
  <r>
    <x v="620"/>
    <x v="1"/>
    <x v="0"/>
    <n v="105.4"/>
    <x v="568"/>
    <x v="26"/>
    <d v="2025-01-31T00:00:00"/>
    <x v="2"/>
    <x v="1"/>
    <x v="2"/>
    <x v="0"/>
    <x v="23"/>
    <x v="5"/>
    <x v="4"/>
    <x v="2"/>
  </r>
  <r>
    <x v="621"/>
    <x v="7"/>
    <x v="0"/>
    <n v="57.7"/>
    <x v="569"/>
    <x v="26"/>
    <d v="2025-01-27T00:00:00"/>
    <x v="1"/>
    <x v="0"/>
    <x v="4"/>
    <x v="0"/>
    <x v="8"/>
    <x v="7"/>
    <x v="4"/>
    <x v="1"/>
  </r>
  <r>
    <x v="622"/>
    <x v="15"/>
    <x v="1"/>
    <n v="72.400000000000006"/>
    <x v="353"/>
    <x v="26"/>
    <d v="2025-02-01T00:00:00"/>
    <x v="2"/>
    <x v="0"/>
    <x v="0"/>
    <x v="0"/>
    <x v="17"/>
    <x v="0"/>
    <x v="4"/>
    <x v="2"/>
  </r>
  <r>
    <x v="623"/>
    <x v="6"/>
    <x v="1"/>
    <n v="62.5"/>
    <x v="570"/>
    <x v="26"/>
    <d v="2025-01-28T00:00:00"/>
    <x v="0"/>
    <x v="0"/>
    <x v="2"/>
    <x v="0"/>
    <x v="11"/>
    <x v="3"/>
    <x v="4"/>
    <x v="0"/>
  </r>
  <r>
    <x v="624"/>
    <x v="0"/>
    <x v="32"/>
    <n v="11.6"/>
    <x v="281"/>
    <x v="26"/>
    <d v="2025-01-29T00:00:00"/>
    <x v="2"/>
    <x v="3"/>
    <x v="2"/>
    <x v="0"/>
    <x v="18"/>
    <x v="1"/>
    <x v="4"/>
    <x v="2"/>
  </r>
  <r>
    <x v="625"/>
    <x v="10"/>
    <x v="7"/>
    <n v="39.6"/>
    <x v="501"/>
    <x v="26"/>
    <d v="2025-01-29T00:00:00"/>
    <x v="2"/>
    <x v="2"/>
    <x v="2"/>
    <x v="0"/>
    <x v="18"/>
    <x v="1"/>
    <x v="4"/>
    <x v="2"/>
  </r>
  <r>
    <x v="626"/>
    <x v="8"/>
    <x v="1"/>
    <n v="40.1"/>
    <x v="556"/>
    <x v="26"/>
    <d v="2025-01-28T00:00:00"/>
    <x v="2"/>
    <x v="2"/>
    <x v="0"/>
    <x v="0"/>
    <x v="18"/>
    <x v="3"/>
    <x v="4"/>
    <x v="2"/>
  </r>
  <r>
    <x v="627"/>
    <x v="8"/>
    <x v="2"/>
    <n v="18.600000000000001"/>
    <x v="571"/>
    <x v="26"/>
    <d v="2025-01-28T00:00:00"/>
    <x v="2"/>
    <x v="2"/>
    <x v="0"/>
    <x v="0"/>
    <x v="21"/>
    <x v="3"/>
    <x v="4"/>
    <x v="2"/>
  </r>
  <r>
    <x v="628"/>
    <x v="4"/>
    <x v="0"/>
    <n v="58.8"/>
    <x v="572"/>
    <x v="26"/>
    <d v="2025-01-29T00:00:00"/>
    <x v="2"/>
    <x v="0"/>
    <x v="1"/>
    <x v="0"/>
    <x v="21"/>
    <x v="1"/>
    <x v="4"/>
    <x v="2"/>
  </r>
  <r>
    <x v="629"/>
    <x v="8"/>
    <x v="1"/>
    <n v="22.1"/>
    <x v="573"/>
    <x v="26"/>
    <d v="2025-01-30T00:00:00"/>
    <x v="1"/>
    <x v="1"/>
    <x v="2"/>
    <x v="0"/>
    <x v="21"/>
    <x v="2"/>
    <x v="4"/>
    <x v="1"/>
  </r>
  <r>
    <x v="630"/>
    <x v="2"/>
    <x v="0"/>
    <n v="114.9"/>
    <x v="574"/>
    <x v="27"/>
    <d v="2025-01-29T00:00:00"/>
    <x v="2"/>
    <x v="1"/>
    <x v="1"/>
    <x v="0"/>
    <x v="22"/>
    <x v="3"/>
    <x v="4"/>
    <x v="2"/>
  </r>
  <r>
    <x v="631"/>
    <x v="9"/>
    <x v="9"/>
    <n v="75.8"/>
    <x v="575"/>
    <x v="27"/>
    <d v="2025-01-29T00:00:00"/>
    <x v="1"/>
    <x v="0"/>
    <x v="2"/>
    <x v="0"/>
    <x v="3"/>
    <x v="3"/>
    <x v="4"/>
    <x v="1"/>
  </r>
  <r>
    <x v="632"/>
    <x v="14"/>
    <x v="9"/>
    <n v="20.6"/>
    <x v="576"/>
    <x v="27"/>
    <d v="2025-01-29T00:00:00"/>
    <x v="1"/>
    <x v="2"/>
    <x v="2"/>
    <x v="0"/>
    <x v="3"/>
    <x v="3"/>
    <x v="4"/>
    <x v="1"/>
  </r>
  <r>
    <x v="633"/>
    <x v="17"/>
    <x v="2"/>
    <n v="67.900000000000006"/>
    <x v="577"/>
    <x v="27"/>
    <d v="2025-01-29T00:00:00"/>
    <x v="2"/>
    <x v="1"/>
    <x v="1"/>
    <x v="0"/>
    <x v="3"/>
    <x v="3"/>
    <x v="4"/>
    <x v="2"/>
  </r>
  <r>
    <x v="634"/>
    <x v="0"/>
    <x v="9"/>
    <n v="27"/>
    <x v="340"/>
    <x v="27"/>
    <d v="2025-02-04T00:00:00"/>
    <x v="2"/>
    <x v="0"/>
    <x v="2"/>
    <x v="0"/>
    <x v="3"/>
    <x v="6"/>
    <x v="4"/>
    <x v="2"/>
  </r>
  <r>
    <x v="635"/>
    <x v="13"/>
    <x v="0"/>
    <n v="50.6"/>
    <x v="578"/>
    <x v="27"/>
    <d v="2025-01-28T00:00:00"/>
    <x v="1"/>
    <x v="0"/>
    <x v="1"/>
    <x v="0"/>
    <x v="3"/>
    <x v="7"/>
    <x v="4"/>
    <x v="1"/>
  </r>
  <r>
    <x v="636"/>
    <x v="4"/>
    <x v="9"/>
    <n v="22.1"/>
    <x v="579"/>
    <x v="27"/>
    <d v="2025-02-02T00:00:00"/>
    <x v="1"/>
    <x v="0"/>
    <x v="0"/>
    <x v="0"/>
    <x v="3"/>
    <x v="0"/>
    <x v="4"/>
    <x v="1"/>
  </r>
  <r>
    <x v="637"/>
    <x v="8"/>
    <x v="2"/>
    <n v="42.9"/>
    <x v="580"/>
    <x v="27"/>
    <d v="2025-01-30T00:00:00"/>
    <x v="2"/>
    <x v="0"/>
    <x v="0"/>
    <x v="0"/>
    <x v="3"/>
    <x v="1"/>
    <x v="4"/>
    <x v="2"/>
  </r>
  <r>
    <x v="638"/>
    <x v="1"/>
    <x v="5"/>
    <n v="62.4"/>
    <x v="581"/>
    <x v="27"/>
    <d v="2025-01-30T00:00:00"/>
    <x v="2"/>
    <x v="2"/>
    <x v="0"/>
    <x v="0"/>
    <x v="3"/>
    <x v="1"/>
    <x v="4"/>
    <x v="2"/>
  </r>
  <r>
    <x v="639"/>
    <x v="13"/>
    <x v="11"/>
    <n v="36.4"/>
    <x v="582"/>
    <x v="27"/>
    <d v="2025-01-30T00:00:00"/>
    <x v="2"/>
    <x v="0"/>
    <x v="2"/>
    <x v="0"/>
    <x v="3"/>
    <x v="1"/>
    <x v="4"/>
    <x v="2"/>
  </r>
  <r>
    <x v="640"/>
    <x v="0"/>
    <x v="1"/>
    <n v="22.5"/>
    <x v="583"/>
    <x v="27"/>
    <d v="2025-01-31T00:00:00"/>
    <x v="1"/>
    <x v="0"/>
    <x v="0"/>
    <x v="0"/>
    <x v="3"/>
    <x v="2"/>
    <x v="4"/>
    <x v="1"/>
  </r>
  <r>
    <x v="641"/>
    <x v="6"/>
    <x v="12"/>
    <n v="70.8"/>
    <x v="584"/>
    <x v="27"/>
    <d v="2025-01-30T00:00:00"/>
    <x v="2"/>
    <x v="4"/>
    <x v="0"/>
    <x v="0"/>
    <x v="3"/>
    <x v="1"/>
    <x v="4"/>
    <x v="2"/>
  </r>
  <r>
    <x v="642"/>
    <x v="6"/>
    <x v="9"/>
    <n v="56.6"/>
    <x v="585"/>
    <x v="27"/>
    <d v="2025-01-30T00:00:00"/>
    <x v="1"/>
    <x v="0"/>
    <x v="1"/>
    <x v="0"/>
    <x v="4"/>
    <x v="1"/>
    <x v="4"/>
    <x v="1"/>
  </r>
  <r>
    <x v="643"/>
    <x v="6"/>
    <x v="1"/>
    <n v="47.9"/>
    <x v="586"/>
    <x v="27"/>
    <d v="2025-01-29T00:00:00"/>
    <x v="2"/>
    <x v="0"/>
    <x v="0"/>
    <x v="0"/>
    <x v="6"/>
    <x v="3"/>
    <x v="4"/>
    <x v="2"/>
  </r>
  <r>
    <x v="644"/>
    <x v="6"/>
    <x v="8"/>
    <n v="78.400000000000006"/>
    <x v="587"/>
    <x v="27"/>
    <d v="2025-01-30T00:00:00"/>
    <x v="2"/>
    <x v="1"/>
    <x v="0"/>
    <x v="0"/>
    <x v="6"/>
    <x v="1"/>
    <x v="4"/>
    <x v="2"/>
  </r>
  <r>
    <x v="645"/>
    <x v="2"/>
    <x v="21"/>
    <n v="122.1"/>
    <x v="588"/>
    <x v="27"/>
    <d v="2025-02-02T00:00:00"/>
    <x v="2"/>
    <x v="0"/>
    <x v="2"/>
    <x v="0"/>
    <x v="6"/>
    <x v="0"/>
    <x v="4"/>
    <x v="2"/>
  </r>
  <r>
    <x v="646"/>
    <x v="2"/>
    <x v="1"/>
    <n v="83.7"/>
    <x v="589"/>
    <x v="28"/>
    <d v="2025-01-29T00:00:00"/>
    <x v="0"/>
    <x v="1"/>
    <x v="2"/>
    <x v="0"/>
    <x v="7"/>
    <x v="7"/>
    <x v="4"/>
    <x v="0"/>
  </r>
  <r>
    <x v="647"/>
    <x v="3"/>
    <x v="12"/>
    <n v="97.9"/>
    <x v="590"/>
    <x v="28"/>
    <d v="2025-02-02T00:00:00"/>
    <x v="2"/>
    <x v="3"/>
    <x v="2"/>
    <x v="0"/>
    <x v="7"/>
    <x v="5"/>
    <x v="4"/>
    <x v="2"/>
  </r>
  <r>
    <x v="648"/>
    <x v="14"/>
    <x v="0"/>
    <n v="15"/>
    <x v="591"/>
    <x v="28"/>
    <d v="2025-02-03T00:00:00"/>
    <x v="2"/>
    <x v="3"/>
    <x v="0"/>
    <x v="0"/>
    <x v="8"/>
    <x v="0"/>
    <x v="4"/>
    <x v="2"/>
  </r>
  <r>
    <x v="649"/>
    <x v="12"/>
    <x v="2"/>
    <n v="94.6"/>
    <x v="592"/>
    <x v="28"/>
    <d v="2025-01-30T00:00:00"/>
    <x v="1"/>
    <x v="2"/>
    <x v="1"/>
    <x v="0"/>
    <x v="8"/>
    <x v="3"/>
    <x v="4"/>
    <x v="1"/>
  </r>
  <r>
    <x v="650"/>
    <x v="0"/>
    <x v="13"/>
    <n v="19.7"/>
    <x v="593"/>
    <x v="28"/>
    <d v="2025-02-09T00:00:00"/>
    <x v="2"/>
    <x v="0"/>
    <x v="2"/>
    <x v="0"/>
    <x v="8"/>
    <x v="11"/>
    <x v="4"/>
    <x v="2"/>
  </r>
  <r>
    <x v="651"/>
    <x v="7"/>
    <x v="0"/>
    <n v="46.7"/>
    <x v="594"/>
    <x v="28"/>
    <d v="2025-02-01T00:00:00"/>
    <x v="2"/>
    <x v="2"/>
    <x v="0"/>
    <x v="0"/>
    <x v="17"/>
    <x v="2"/>
    <x v="4"/>
    <x v="2"/>
  </r>
  <r>
    <x v="652"/>
    <x v="1"/>
    <x v="12"/>
    <n v="43"/>
    <x v="595"/>
    <x v="28"/>
    <d v="2025-01-30T00:00:00"/>
    <x v="1"/>
    <x v="2"/>
    <x v="2"/>
    <x v="0"/>
    <x v="17"/>
    <x v="3"/>
    <x v="4"/>
    <x v="1"/>
  </r>
  <r>
    <x v="653"/>
    <x v="6"/>
    <x v="2"/>
    <n v="68.2"/>
    <x v="214"/>
    <x v="28"/>
    <d v="2025-02-04T00:00:00"/>
    <x v="2"/>
    <x v="0"/>
    <x v="0"/>
    <x v="0"/>
    <x v="9"/>
    <x v="4"/>
    <x v="4"/>
    <x v="2"/>
  </r>
  <r>
    <x v="654"/>
    <x v="10"/>
    <x v="7"/>
    <n v="24.3"/>
    <x v="596"/>
    <x v="28"/>
    <d v="2025-01-30T00:00:00"/>
    <x v="1"/>
    <x v="0"/>
    <x v="2"/>
    <x v="0"/>
    <x v="10"/>
    <x v="3"/>
    <x v="4"/>
    <x v="1"/>
  </r>
  <r>
    <x v="655"/>
    <x v="7"/>
    <x v="1"/>
    <n v="86.8"/>
    <x v="597"/>
    <x v="28"/>
    <d v="2025-02-02T00:00:00"/>
    <x v="2"/>
    <x v="4"/>
    <x v="2"/>
    <x v="0"/>
    <x v="11"/>
    <x v="5"/>
    <x v="4"/>
    <x v="2"/>
  </r>
  <r>
    <x v="656"/>
    <x v="0"/>
    <x v="1"/>
    <n v="15.8"/>
    <x v="35"/>
    <x v="28"/>
    <d v="2025-01-31T00:00:00"/>
    <x v="1"/>
    <x v="1"/>
    <x v="0"/>
    <x v="0"/>
    <x v="11"/>
    <x v="1"/>
    <x v="4"/>
    <x v="1"/>
  </r>
  <r>
    <x v="657"/>
    <x v="2"/>
    <x v="12"/>
    <n v="61.6"/>
    <x v="598"/>
    <x v="28"/>
    <d v="2025-01-30T00:00:00"/>
    <x v="1"/>
    <x v="2"/>
    <x v="0"/>
    <x v="0"/>
    <x v="11"/>
    <x v="3"/>
    <x v="4"/>
    <x v="1"/>
  </r>
  <r>
    <x v="658"/>
    <x v="6"/>
    <x v="2"/>
    <n v="48.7"/>
    <x v="599"/>
    <x v="28"/>
    <d v="2025-02-04T00:00:00"/>
    <x v="2"/>
    <x v="1"/>
    <x v="2"/>
    <x v="0"/>
    <x v="45"/>
    <x v="4"/>
    <x v="4"/>
    <x v="2"/>
  </r>
  <r>
    <x v="659"/>
    <x v="8"/>
    <x v="12"/>
    <n v="24.3"/>
    <x v="451"/>
    <x v="28"/>
    <d v="2025-01-31T00:00:00"/>
    <x v="2"/>
    <x v="1"/>
    <x v="2"/>
    <x v="0"/>
    <x v="21"/>
    <x v="1"/>
    <x v="4"/>
    <x v="2"/>
  </r>
  <r>
    <x v="660"/>
    <x v="2"/>
    <x v="1"/>
    <n v="130.69999999999999"/>
    <x v="600"/>
    <x v="28"/>
    <d v="2025-01-30T00:00:00"/>
    <x v="2"/>
    <x v="2"/>
    <x v="0"/>
    <x v="0"/>
    <x v="44"/>
    <x v="3"/>
    <x v="4"/>
    <x v="2"/>
  </r>
  <r>
    <x v="661"/>
    <x v="10"/>
    <x v="0"/>
    <n v="26"/>
    <x v="601"/>
    <x v="28"/>
    <d v="2025-01-31T00:00:00"/>
    <x v="1"/>
    <x v="0"/>
    <x v="0"/>
    <x v="0"/>
    <x v="3"/>
    <x v="1"/>
    <x v="4"/>
    <x v="1"/>
  </r>
  <r>
    <x v="662"/>
    <x v="2"/>
    <x v="9"/>
    <n v="94.4"/>
    <x v="602"/>
    <x v="28"/>
    <d v="2025-01-30T00:00:00"/>
    <x v="2"/>
    <x v="0"/>
    <x v="0"/>
    <x v="0"/>
    <x v="3"/>
    <x v="3"/>
    <x v="4"/>
    <x v="2"/>
  </r>
  <r>
    <x v="663"/>
    <x v="0"/>
    <x v="13"/>
    <n v="23.7"/>
    <x v="60"/>
    <x v="28"/>
    <d v="2025-01-31T00:00:00"/>
    <x v="1"/>
    <x v="2"/>
    <x v="2"/>
    <x v="0"/>
    <x v="3"/>
    <x v="1"/>
    <x v="4"/>
    <x v="1"/>
  </r>
  <r>
    <x v="664"/>
    <x v="9"/>
    <x v="4"/>
    <n v="37.4"/>
    <x v="603"/>
    <x v="28"/>
    <d v="2025-01-31T00:00:00"/>
    <x v="1"/>
    <x v="2"/>
    <x v="0"/>
    <x v="0"/>
    <x v="3"/>
    <x v="1"/>
    <x v="4"/>
    <x v="1"/>
  </r>
  <r>
    <x v="665"/>
    <x v="1"/>
    <x v="34"/>
    <n v="55.2"/>
    <x v="604"/>
    <x v="28"/>
    <d v="2025-01-29T00:00:00"/>
    <x v="2"/>
    <x v="3"/>
    <x v="1"/>
    <x v="0"/>
    <x v="3"/>
    <x v="7"/>
    <x v="4"/>
    <x v="2"/>
  </r>
  <r>
    <x v="666"/>
    <x v="2"/>
    <x v="11"/>
    <n v="57.1"/>
    <x v="605"/>
    <x v="28"/>
    <d v="2025-01-31T00:00:00"/>
    <x v="1"/>
    <x v="0"/>
    <x v="2"/>
    <x v="0"/>
    <x v="3"/>
    <x v="1"/>
    <x v="4"/>
    <x v="1"/>
  </r>
  <r>
    <x v="667"/>
    <x v="12"/>
    <x v="0"/>
    <n v="55.3"/>
    <x v="6"/>
    <x v="28"/>
    <d v="2025-01-30T00:00:00"/>
    <x v="2"/>
    <x v="2"/>
    <x v="2"/>
    <x v="0"/>
    <x v="3"/>
    <x v="3"/>
    <x v="4"/>
    <x v="2"/>
  </r>
  <r>
    <x v="668"/>
    <x v="15"/>
    <x v="3"/>
    <n v="23.9"/>
    <x v="606"/>
    <x v="28"/>
    <d v="2025-01-30T00:00:00"/>
    <x v="2"/>
    <x v="4"/>
    <x v="1"/>
    <x v="0"/>
    <x v="3"/>
    <x v="3"/>
    <x v="4"/>
    <x v="2"/>
  </r>
  <r>
    <x v="669"/>
    <x v="0"/>
    <x v="0"/>
    <n v="34.1"/>
    <x v="607"/>
    <x v="28"/>
    <d v="2025-02-05T00:00:00"/>
    <x v="2"/>
    <x v="2"/>
    <x v="0"/>
    <x v="0"/>
    <x v="3"/>
    <x v="6"/>
    <x v="4"/>
    <x v="2"/>
  </r>
  <r>
    <x v="670"/>
    <x v="12"/>
    <x v="12"/>
    <n v="38.5"/>
    <x v="608"/>
    <x v="28"/>
    <d v="2025-02-09T00:00:00"/>
    <x v="2"/>
    <x v="0"/>
    <x v="0"/>
    <x v="0"/>
    <x v="3"/>
    <x v="11"/>
    <x v="4"/>
    <x v="2"/>
  </r>
  <r>
    <x v="671"/>
    <x v="7"/>
    <x v="1"/>
    <n v="105"/>
    <x v="609"/>
    <x v="28"/>
    <d v="2025-02-04T00:00:00"/>
    <x v="2"/>
    <x v="0"/>
    <x v="2"/>
    <x v="0"/>
    <x v="3"/>
    <x v="4"/>
    <x v="4"/>
    <x v="2"/>
  </r>
  <r>
    <x v="672"/>
    <x v="8"/>
    <x v="9"/>
    <n v="45.2"/>
    <x v="326"/>
    <x v="28"/>
    <d v="2025-01-31T00:00:00"/>
    <x v="2"/>
    <x v="0"/>
    <x v="2"/>
    <x v="0"/>
    <x v="3"/>
    <x v="1"/>
    <x v="4"/>
    <x v="2"/>
  </r>
  <r>
    <x v="673"/>
    <x v="17"/>
    <x v="2"/>
    <n v="24.8"/>
    <x v="610"/>
    <x v="28"/>
    <d v="2025-01-29T00:00:00"/>
    <x v="0"/>
    <x v="0"/>
    <x v="1"/>
    <x v="0"/>
    <x v="3"/>
    <x v="7"/>
    <x v="4"/>
    <x v="0"/>
  </r>
  <r>
    <x v="674"/>
    <x v="11"/>
    <x v="12"/>
    <n v="43.8"/>
    <x v="122"/>
    <x v="28"/>
    <d v="2025-02-05T00:00:00"/>
    <x v="2"/>
    <x v="1"/>
    <x v="2"/>
    <x v="0"/>
    <x v="6"/>
    <x v="6"/>
    <x v="4"/>
    <x v="2"/>
  </r>
  <r>
    <x v="675"/>
    <x v="1"/>
    <x v="0"/>
    <n v="75"/>
    <x v="611"/>
    <x v="28"/>
    <d v="2025-01-31T00:00:00"/>
    <x v="2"/>
    <x v="4"/>
    <x v="1"/>
    <x v="0"/>
    <x v="6"/>
    <x v="1"/>
    <x v="4"/>
    <x v="2"/>
  </r>
  <r>
    <x v="676"/>
    <x v="2"/>
    <x v="0"/>
    <n v="169.9"/>
    <x v="612"/>
    <x v="28"/>
    <d v="2025-01-30T00:00:00"/>
    <x v="1"/>
    <x v="2"/>
    <x v="0"/>
    <x v="0"/>
    <x v="6"/>
    <x v="3"/>
    <x v="4"/>
    <x v="1"/>
  </r>
  <r>
    <x v="677"/>
    <x v="9"/>
    <x v="1"/>
    <n v="72.2"/>
    <x v="613"/>
    <x v="28"/>
    <d v="2025-01-31T00:00:00"/>
    <x v="2"/>
    <x v="4"/>
    <x v="1"/>
    <x v="0"/>
    <x v="6"/>
    <x v="1"/>
    <x v="4"/>
    <x v="2"/>
  </r>
  <r>
    <x v="678"/>
    <x v="0"/>
    <x v="0"/>
    <n v="20"/>
    <x v="614"/>
    <x v="29"/>
    <d v="2025-02-02T00:00:00"/>
    <x v="2"/>
    <x v="2"/>
    <x v="1"/>
    <x v="0"/>
    <x v="7"/>
    <x v="2"/>
    <x v="4"/>
    <x v="2"/>
  </r>
  <r>
    <x v="679"/>
    <x v="9"/>
    <x v="1"/>
    <n v="40.799999999999997"/>
    <x v="330"/>
    <x v="29"/>
    <d v="2025-02-01T00:00:00"/>
    <x v="2"/>
    <x v="3"/>
    <x v="2"/>
    <x v="0"/>
    <x v="8"/>
    <x v="1"/>
    <x v="4"/>
    <x v="2"/>
  </r>
  <r>
    <x v="680"/>
    <x v="10"/>
    <x v="12"/>
    <n v="58"/>
    <x v="615"/>
    <x v="29"/>
    <d v="2025-02-03T00:00:00"/>
    <x v="2"/>
    <x v="0"/>
    <x v="0"/>
    <x v="0"/>
    <x v="8"/>
    <x v="5"/>
    <x v="4"/>
    <x v="2"/>
  </r>
  <r>
    <x v="681"/>
    <x v="12"/>
    <x v="1"/>
    <n v="43.1"/>
    <x v="616"/>
    <x v="29"/>
    <d v="2025-01-31T00:00:00"/>
    <x v="2"/>
    <x v="1"/>
    <x v="2"/>
    <x v="0"/>
    <x v="8"/>
    <x v="3"/>
    <x v="4"/>
    <x v="2"/>
  </r>
  <r>
    <x v="682"/>
    <x v="6"/>
    <x v="11"/>
    <n v="74.7"/>
    <x v="617"/>
    <x v="29"/>
    <d v="2025-02-01T00:00:00"/>
    <x v="1"/>
    <x v="0"/>
    <x v="2"/>
    <x v="0"/>
    <x v="8"/>
    <x v="1"/>
    <x v="4"/>
    <x v="1"/>
  </r>
  <r>
    <x v="683"/>
    <x v="6"/>
    <x v="0"/>
    <n v="128.19999999999999"/>
    <x v="618"/>
    <x v="29"/>
    <d v="2025-01-30T00:00:00"/>
    <x v="1"/>
    <x v="1"/>
    <x v="0"/>
    <x v="0"/>
    <x v="8"/>
    <x v="7"/>
    <x v="4"/>
    <x v="1"/>
  </r>
  <r>
    <x v="684"/>
    <x v="14"/>
    <x v="12"/>
    <n v="26.7"/>
    <x v="619"/>
    <x v="29"/>
    <d v="2025-01-31T00:00:00"/>
    <x v="1"/>
    <x v="1"/>
    <x v="0"/>
    <x v="0"/>
    <x v="8"/>
    <x v="3"/>
    <x v="4"/>
    <x v="1"/>
  </r>
  <r>
    <x v="685"/>
    <x v="17"/>
    <x v="13"/>
    <n v="31.5"/>
    <x v="620"/>
    <x v="29"/>
    <d v="2025-01-31T00:00:00"/>
    <x v="2"/>
    <x v="2"/>
    <x v="0"/>
    <x v="0"/>
    <x v="17"/>
    <x v="3"/>
    <x v="4"/>
    <x v="2"/>
  </r>
  <r>
    <x v="686"/>
    <x v="3"/>
    <x v="3"/>
    <n v="64.7"/>
    <x v="621"/>
    <x v="29"/>
    <d v="2025-01-31T00:00:00"/>
    <x v="2"/>
    <x v="0"/>
    <x v="2"/>
    <x v="0"/>
    <x v="9"/>
    <x v="3"/>
    <x v="4"/>
    <x v="2"/>
  </r>
  <r>
    <x v="687"/>
    <x v="5"/>
    <x v="1"/>
    <n v="55.6"/>
    <x v="622"/>
    <x v="29"/>
    <d v="2025-02-02T00:00:00"/>
    <x v="2"/>
    <x v="3"/>
    <x v="0"/>
    <x v="0"/>
    <x v="11"/>
    <x v="2"/>
    <x v="4"/>
    <x v="2"/>
  </r>
  <r>
    <x v="688"/>
    <x v="3"/>
    <x v="1"/>
    <n v="36.200000000000003"/>
    <x v="623"/>
    <x v="29"/>
    <d v="2025-01-31T00:00:00"/>
    <x v="2"/>
    <x v="3"/>
    <x v="0"/>
    <x v="0"/>
    <x v="11"/>
    <x v="3"/>
    <x v="4"/>
    <x v="2"/>
  </r>
  <r>
    <x v="689"/>
    <x v="0"/>
    <x v="0"/>
    <n v="26.6"/>
    <x v="534"/>
    <x v="29"/>
    <d v="2025-01-31T00:00:00"/>
    <x v="0"/>
    <x v="1"/>
    <x v="1"/>
    <x v="0"/>
    <x v="19"/>
    <x v="3"/>
    <x v="4"/>
    <x v="0"/>
  </r>
  <r>
    <x v="690"/>
    <x v="10"/>
    <x v="12"/>
    <n v="31.5"/>
    <x v="624"/>
    <x v="29"/>
    <d v="2025-02-01T00:00:00"/>
    <x v="1"/>
    <x v="0"/>
    <x v="0"/>
    <x v="0"/>
    <x v="31"/>
    <x v="1"/>
    <x v="4"/>
    <x v="1"/>
  </r>
  <r>
    <x v="691"/>
    <x v="10"/>
    <x v="0"/>
    <n v="27"/>
    <x v="49"/>
    <x v="29"/>
    <d v="2025-02-01T00:00:00"/>
    <x v="2"/>
    <x v="1"/>
    <x v="2"/>
    <x v="0"/>
    <x v="13"/>
    <x v="1"/>
    <x v="4"/>
    <x v="2"/>
  </r>
  <r>
    <x v="692"/>
    <x v="4"/>
    <x v="0"/>
    <n v="32"/>
    <x v="109"/>
    <x v="29"/>
    <d v="2025-02-02T00:00:00"/>
    <x v="1"/>
    <x v="3"/>
    <x v="0"/>
    <x v="0"/>
    <x v="21"/>
    <x v="2"/>
    <x v="4"/>
    <x v="1"/>
  </r>
  <r>
    <x v="693"/>
    <x v="1"/>
    <x v="2"/>
    <n v="48.1"/>
    <x v="625"/>
    <x v="29"/>
    <d v="2025-02-01T00:00:00"/>
    <x v="1"/>
    <x v="2"/>
    <x v="1"/>
    <x v="0"/>
    <x v="1"/>
    <x v="1"/>
    <x v="4"/>
    <x v="1"/>
  </r>
  <r>
    <x v="694"/>
    <x v="9"/>
    <x v="1"/>
    <n v="43.4"/>
    <x v="626"/>
    <x v="29"/>
    <d v="2025-01-31T00:00:00"/>
    <x v="1"/>
    <x v="1"/>
    <x v="1"/>
    <x v="0"/>
    <x v="22"/>
    <x v="3"/>
    <x v="4"/>
    <x v="1"/>
  </r>
  <r>
    <x v="695"/>
    <x v="6"/>
    <x v="1"/>
    <n v="42.6"/>
    <x v="464"/>
    <x v="29"/>
    <d v="2025-02-02T00:00:00"/>
    <x v="2"/>
    <x v="3"/>
    <x v="0"/>
    <x v="0"/>
    <x v="22"/>
    <x v="2"/>
    <x v="4"/>
    <x v="2"/>
  </r>
  <r>
    <x v="696"/>
    <x v="8"/>
    <x v="1"/>
    <n v="15.9"/>
    <x v="627"/>
    <x v="29"/>
    <d v="2025-01-31T00:00:00"/>
    <x v="2"/>
    <x v="0"/>
    <x v="0"/>
    <x v="0"/>
    <x v="34"/>
    <x v="3"/>
    <x v="4"/>
    <x v="2"/>
  </r>
  <r>
    <x v="697"/>
    <x v="9"/>
    <x v="1"/>
    <n v="63.2"/>
    <x v="628"/>
    <x v="29"/>
    <d v="2025-01-31T00:00:00"/>
    <x v="1"/>
    <x v="1"/>
    <x v="0"/>
    <x v="0"/>
    <x v="3"/>
    <x v="3"/>
    <x v="4"/>
    <x v="1"/>
  </r>
  <r>
    <x v="698"/>
    <x v="7"/>
    <x v="12"/>
    <n v="64.8"/>
    <x v="629"/>
    <x v="29"/>
    <d v="2025-02-01T00:00:00"/>
    <x v="0"/>
    <x v="4"/>
    <x v="1"/>
    <x v="0"/>
    <x v="3"/>
    <x v="1"/>
    <x v="4"/>
    <x v="0"/>
  </r>
  <r>
    <x v="699"/>
    <x v="7"/>
    <x v="2"/>
    <n v="79.8"/>
    <x v="342"/>
    <x v="29"/>
    <d v="2025-01-31T00:00:00"/>
    <x v="1"/>
    <x v="0"/>
    <x v="0"/>
    <x v="0"/>
    <x v="3"/>
    <x v="3"/>
    <x v="4"/>
    <x v="1"/>
  </r>
  <r>
    <x v="700"/>
    <x v="9"/>
    <x v="0"/>
    <n v="54.4"/>
    <x v="630"/>
    <x v="29"/>
    <d v="2025-02-01T00:00:00"/>
    <x v="2"/>
    <x v="4"/>
    <x v="2"/>
    <x v="0"/>
    <x v="3"/>
    <x v="1"/>
    <x v="4"/>
    <x v="2"/>
  </r>
  <r>
    <x v="701"/>
    <x v="6"/>
    <x v="0"/>
    <n v="87.3"/>
    <x v="631"/>
    <x v="29"/>
    <d v="2025-01-31T00:00:00"/>
    <x v="1"/>
    <x v="1"/>
    <x v="0"/>
    <x v="0"/>
    <x v="3"/>
    <x v="3"/>
    <x v="4"/>
    <x v="1"/>
  </r>
  <r>
    <x v="702"/>
    <x v="8"/>
    <x v="12"/>
    <n v="32.4"/>
    <x v="632"/>
    <x v="29"/>
    <d v="2025-01-30T00:00:00"/>
    <x v="1"/>
    <x v="1"/>
    <x v="0"/>
    <x v="0"/>
    <x v="3"/>
    <x v="7"/>
    <x v="4"/>
    <x v="1"/>
  </r>
  <r>
    <x v="703"/>
    <x v="2"/>
    <x v="0"/>
    <n v="177.4"/>
    <x v="633"/>
    <x v="29"/>
    <d v="2025-02-03T00:00:00"/>
    <x v="1"/>
    <x v="0"/>
    <x v="2"/>
    <x v="0"/>
    <x v="3"/>
    <x v="5"/>
    <x v="4"/>
    <x v="1"/>
  </r>
  <r>
    <x v="704"/>
    <x v="7"/>
    <x v="1"/>
    <n v="70.099999999999994"/>
    <x v="634"/>
    <x v="29"/>
    <d v="2025-01-31T00:00:00"/>
    <x v="1"/>
    <x v="3"/>
    <x v="1"/>
    <x v="0"/>
    <x v="3"/>
    <x v="3"/>
    <x v="4"/>
    <x v="1"/>
  </r>
  <r>
    <x v="705"/>
    <x v="9"/>
    <x v="13"/>
    <n v="51.1"/>
    <x v="567"/>
    <x v="29"/>
    <d v="2025-01-31T00:00:00"/>
    <x v="2"/>
    <x v="0"/>
    <x v="0"/>
    <x v="0"/>
    <x v="3"/>
    <x v="3"/>
    <x v="4"/>
    <x v="2"/>
  </r>
  <r>
    <x v="706"/>
    <x v="2"/>
    <x v="9"/>
    <n v="79.900000000000006"/>
    <x v="635"/>
    <x v="29"/>
    <d v="2025-02-01T00:00:00"/>
    <x v="1"/>
    <x v="3"/>
    <x v="2"/>
    <x v="0"/>
    <x v="24"/>
    <x v="1"/>
    <x v="4"/>
    <x v="1"/>
  </r>
  <r>
    <x v="707"/>
    <x v="6"/>
    <x v="0"/>
    <n v="57.6"/>
    <x v="636"/>
    <x v="30"/>
    <d v="2025-02-05T00:00:00"/>
    <x v="1"/>
    <x v="0"/>
    <x v="2"/>
    <x v="0"/>
    <x v="49"/>
    <x v="0"/>
    <x v="4"/>
    <x v="1"/>
  </r>
  <r>
    <x v="708"/>
    <x v="8"/>
    <x v="7"/>
    <n v="59.7"/>
    <x v="637"/>
    <x v="30"/>
    <d v="2025-02-04T00:00:00"/>
    <x v="1"/>
    <x v="2"/>
    <x v="0"/>
    <x v="0"/>
    <x v="25"/>
    <x v="5"/>
    <x v="4"/>
    <x v="1"/>
  </r>
  <r>
    <x v="709"/>
    <x v="8"/>
    <x v="9"/>
    <n v="30"/>
    <x v="638"/>
    <x v="30"/>
    <d v="2025-02-02T00:00:00"/>
    <x v="1"/>
    <x v="1"/>
    <x v="0"/>
    <x v="0"/>
    <x v="6"/>
    <x v="1"/>
    <x v="4"/>
    <x v="1"/>
  </r>
  <r>
    <x v="710"/>
    <x v="10"/>
    <x v="1"/>
    <n v="69.2"/>
    <x v="639"/>
    <x v="30"/>
    <d v="2025-02-02T00:00:00"/>
    <x v="0"/>
    <x v="2"/>
    <x v="1"/>
    <x v="0"/>
    <x v="6"/>
    <x v="1"/>
    <x v="4"/>
    <x v="0"/>
  </r>
  <r>
    <x v="711"/>
    <x v="0"/>
    <x v="8"/>
    <n v="10.9"/>
    <x v="640"/>
    <x v="30"/>
    <d v="2025-02-01T00:00:00"/>
    <x v="2"/>
    <x v="0"/>
    <x v="2"/>
    <x v="0"/>
    <x v="6"/>
    <x v="3"/>
    <x v="4"/>
    <x v="2"/>
  </r>
  <r>
    <x v="712"/>
    <x v="16"/>
    <x v="1"/>
    <n v="48.6"/>
    <x v="451"/>
    <x v="30"/>
    <d v="2025-02-04T00:00:00"/>
    <x v="1"/>
    <x v="1"/>
    <x v="2"/>
    <x v="0"/>
    <x v="6"/>
    <x v="5"/>
    <x v="4"/>
    <x v="1"/>
  </r>
  <r>
    <x v="713"/>
    <x v="2"/>
    <x v="1"/>
    <n v="61.1"/>
    <x v="641"/>
    <x v="30"/>
    <d v="2025-02-03T00:00:00"/>
    <x v="2"/>
    <x v="1"/>
    <x v="2"/>
    <x v="0"/>
    <x v="7"/>
    <x v="2"/>
    <x v="4"/>
    <x v="2"/>
  </r>
  <r>
    <x v="714"/>
    <x v="8"/>
    <x v="1"/>
    <n v="23.2"/>
    <x v="434"/>
    <x v="30"/>
    <d v="2025-02-01T00:00:00"/>
    <x v="1"/>
    <x v="3"/>
    <x v="2"/>
    <x v="0"/>
    <x v="8"/>
    <x v="3"/>
    <x v="4"/>
    <x v="1"/>
  </r>
  <r>
    <x v="715"/>
    <x v="12"/>
    <x v="12"/>
    <n v="55.8"/>
    <x v="642"/>
    <x v="30"/>
    <d v="2025-02-01T00:00:00"/>
    <x v="1"/>
    <x v="0"/>
    <x v="0"/>
    <x v="0"/>
    <x v="8"/>
    <x v="3"/>
    <x v="4"/>
    <x v="1"/>
  </r>
  <r>
    <x v="716"/>
    <x v="9"/>
    <x v="12"/>
    <n v="24.8"/>
    <x v="643"/>
    <x v="30"/>
    <d v="2025-02-01T00:00:00"/>
    <x v="2"/>
    <x v="0"/>
    <x v="2"/>
    <x v="0"/>
    <x v="8"/>
    <x v="3"/>
    <x v="4"/>
    <x v="2"/>
  </r>
  <r>
    <x v="717"/>
    <x v="10"/>
    <x v="1"/>
    <n v="27.9"/>
    <x v="391"/>
    <x v="30"/>
    <d v="2025-01-31T00:00:00"/>
    <x v="1"/>
    <x v="2"/>
    <x v="2"/>
    <x v="0"/>
    <x v="8"/>
    <x v="7"/>
    <x v="4"/>
    <x v="1"/>
  </r>
  <r>
    <x v="718"/>
    <x v="10"/>
    <x v="13"/>
    <n v="51.1"/>
    <x v="567"/>
    <x v="30"/>
    <d v="2025-01-31T00:00:00"/>
    <x v="2"/>
    <x v="3"/>
    <x v="0"/>
    <x v="0"/>
    <x v="8"/>
    <x v="7"/>
    <x v="4"/>
    <x v="2"/>
  </r>
  <r>
    <x v="719"/>
    <x v="17"/>
    <x v="5"/>
    <n v="32.700000000000003"/>
    <x v="644"/>
    <x v="30"/>
    <d v="2025-02-01T00:00:00"/>
    <x v="1"/>
    <x v="4"/>
    <x v="2"/>
    <x v="0"/>
    <x v="17"/>
    <x v="3"/>
    <x v="4"/>
    <x v="1"/>
  </r>
  <r>
    <x v="720"/>
    <x v="8"/>
    <x v="12"/>
    <n v="22.5"/>
    <x v="645"/>
    <x v="30"/>
    <d v="2025-01-31T00:00:00"/>
    <x v="1"/>
    <x v="0"/>
    <x v="2"/>
    <x v="0"/>
    <x v="26"/>
    <x v="7"/>
    <x v="4"/>
    <x v="1"/>
  </r>
  <r>
    <x v="721"/>
    <x v="0"/>
    <x v="3"/>
    <n v="14.6"/>
    <x v="646"/>
    <x v="30"/>
    <d v="2025-02-01T00:00:00"/>
    <x v="2"/>
    <x v="2"/>
    <x v="0"/>
    <x v="0"/>
    <x v="41"/>
    <x v="3"/>
    <x v="4"/>
    <x v="2"/>
  </r>
  <r>
    <x v="722"/>
    <x v="5"/>
    <x v="2"/>
    <n v="32.5"/>
    <x v="647"/>
    <x v="30"/>
    <d v="2025-02-03T00:00:00"/>
    <x v="1"/>
    <x v="0"/>
    <x v="0"/>
    <x v="0"/>
    <x v="10"/>
    <x v="2"/>
    <x v="4"/>
    <x v="1"/>
  </r>
  <r>
    <x v="723"/>
    <x v="18"/>
    <x v="0"/>
    <n v="78.099999999999994"/>
    <x v="648"/>
    <x v="30"/>
    <d v="2025-02-03T00:00:00"/>
    <x v="1"/>
    <x v="0"/>
    <x v="2"/>
    <x v="0"/>
    <x v="11"/>
    <x v="2"/>
    <x v="4"/>
    <x v="1"/>
  </r>
  <r>
    <x v="724"/>
    <x v="12"/>
    <x v="13"/>
    <n v="110.2"/>
    <x v="649"/>
    <x v="30"/>
    <d v="2025-01-31T00:00:00"/>
    <x v="1"/>
    <x v="1"/>
    <x v="4"/>
    <x v="0"/>
    <x v="13"/>
    <x v="7"/>
    <x v="4"/>
    <x v="1"/>
  </r>
  <r>
    <x v="725"/>
    <x v="6"/>
    <x v="2"/>
    <n v="86.3"/>
    <x v="650"/>
    <x v="30"/>
    <d v="2025-02-02T00:00:00"/>
    <x v="2"/>
    <x v="3"/>
    <x v="0"/>
    <x v="0"/>
    <x v="21"/>
    <x v="1"/>
    <x v="4"/>
    <x v="2"/>
  </r>
  <r>
    <x v="726"/>
    <x v="1"/>
    <x v="13"/>
    <n v="73.599999999999994"/>
    <x v="651"/>
    <x v="30"/>
    <d v="2025-02-02T00:00:00"/>
    <x v="3"/>
    <x v="3"/>
    <x v="4"/>
    <x v="0"/>
    <x v="44"/>
    <x v="1"/>
    <x v="4"/>
    <x v="3"/>
  </r>
  <r>
    <x v="727"/>
    <x v="6"/>
    <x v="15"/>
    <n v="67.7"/>
    <x v="652"/>
    <x v="30"/>
    <d v="2025-02-02T00:00:00"/>
    <x v="2"/>
    <x v="0"/>
    <x v="2"/>
    <x v="0"/>
    <x v="3"/>
    <x v="1"/>
    <x v="4"/>
    <x v="2"/>
  </r>
  <r>
    <x v="728"/>
    <x v="7"/>
    <x v="13"/>
    <n v="142.19999999999999"/>
    <x v="653"/>
    <x v="30"/>
    <d v="2025-02-01T00:00:00"/>
    <x v="2"/>
    <x v="2"/>
    <x v="4"/>
    <x v="0"/>
    <x v="3"/>
    <x v="3"/>
    <x v="4"/>
    <x v="2"/>
  </r>
  <r>
    <x v="729"/>
    <x v="1"/>
    <x v="11"/>
    <n v="45.8"/>
    <x v="654"/>
    <x v="30"/>
    <d v="2025-02-02T00:00:00"/>
    <x v="2"/>
    <x v="1"/>
    <x v="2"/>
    <x v="0"/>
    <x v="3"/>
    <x v="1"/>
    <x v="4"/>
    <x v="2"/>
  </r>
  <r>
    <x v="730"/>
    <x v="10"/>
    <x v="1"/>
    <n v="24.2"/>
    <x v="655"/>
    <x v="31"/>
    <d v="2025-02-04T00:00:00"/>
    <x v="2"/>
    <x v="3"/>
    <x v="2"/>
    <x v="0"/>
    <x v="3"/>
    <x v="2"/>
    <x v="4"/>
    <x v="2"/>
  </r>
  <r>
    <x v="731"/>
    <x v="2"/>
    <x v="2"/>
    <n v="144.9"/>
    <x v="656"/>
    <x v="31"/>
    <d v="2025-02-02T00:00:00"/>
    <x v="3"/>
    <x v="2"/>
    <x v="2"/>
    <x v="0"/>
    <x v="3"/>
    <x v="3"/>
    <x v="4"/>
    <x v="3"/>
  </r>
  <r>
    <x v="732"/>
    <x v="11"/>
    <x v="9"/>
    <n v="32.799999999999997"/>
    <x v="657"/>
    <x v="31"/>
    <d v="2025-02-04T00:00:00"/>
    <x v="2"/>
    <x v="2"/>
    <x v="0"/>
    <x v="0"/>
    <x v="23"/>
    <x v="2"/>
    <x v="4"/>
    <x v="2"/>
  </r>
  <r>
    <x v="733"/>
    <x v="7"/>
    <x v="7"/>
    <n v="35.700000000000003"/>
    <x v="658"/>
    <x v="31"/>
    <d v="2025-02-01T00:00:00"/>
    <x v="2"/>
    <x v="0"/>
    <x v="1"/>
    <x v="0"/>
    <x v="6"/>
    <x v="7"/>
    <x v="4"/>
    <x v="2"/>
  </r>
  <r>
    <x v="734"/>
    <x v="9"/>
    <x v="1"/>
    <n v="54.6"/>
    <x v="659"/>
    <x v="31"/>
    <d v="2025-02-02T00:00:00"/>
    <x v="2"/>
    <x v="2"/>
    <x v="0"/>
    <x v="0"/>
    <x v="6"/>
    <x v="3"/>
    <x v="4"/>
    <x v="2"/>
  </r>
  <r>
    <x v="735"/>
    <x v="8"/>
    <x v="1"/>
    <n v="35.700000000000003"/>
    <x v="660"/>
    <x v="31"/>
    <d v="2025-02-04T00:00:00"/>
    <x v="0"/>
    <x v="0"/>
    <x v="1"/>
    <x v="0"/>
    <x v="6"/>
    <x v="2"/>
    <x v="4"/>
    <x v="0"/>
  </r>
  <r>
    <x v="736"/>
    <x v="10"/>
    <x v="1"/>
    <n v="52.4"/>
    <x v="661"/>
    <x v="31"/>
    <d v="2025-02-01T00:00:00"/>
    <x v="2"/>
    <x v="0"/>
    <x v="3"/>
    <x v="0"/>
    <x v="6"/>
    <x v="7"/>
    <x v="4"/>
    <x v="2"/>
  </r>
  <r>
    <x v="737"/>
    <x v="8"/>
    <x v="21"/>
    <n v="16.2"/>
    <x v="662"/>
    <x v="31"/>
    <d v="2025-02-02T00:00:00"/>
    <x v="0"/>
    <x v="0"/>
    <x v="1"/>
    <x v="0"/>
    <x v="8"/>
    <x v="3"/>
    <x v="4"/>
    <x v="0"/>
  </r>
  <r>
    <x v="738"/>
    <x v="6"/>
    <x v="35"/>
    <n v="42.8"/>
    <x v="663"/>
    <x v="31"/>
    <d v="2025-02-02T00:00:00"/>
    <x v="2"/>
    <x v="0"/>
    <x v="0"/>
    <x v="0"/>
    <x v="8"/>
    <x v="3"/>
    <x v="4"/>
    <x v="2"/>
  </r>
  <r>
    <x v="739"/>
    <x v="6"/>
    <x v="11"/>
    <n v="144.4"/>
    <x v="664"/>
    <x v="31"/>
    <d v="2025-02-04T00:00:00"/>
    <x v="2"/>
    <x v="4"/>
    <x v="0"/>
    <x v="0"/>
    <x v="8"/>
    <x v="2"/>
    <x v="4"/>
    <x v="2"/>
  </r>
  <r>
    <x v="740"/>
    <x v="3"/>
    <x v="34"/>
    <n v="30.6"/>
    <x v="665"/>
    <x v="31"/>
    <d v="2025-02-05T00:00:00"/>
    <x v="2"/>
    <x v="2"/>
    <x v="2"/>
    <x v="0"/>
    <x v="11"/>
    <x v="5"/>
    <x v="4"/>
    <x v="2"/>
  </r>
  <r>
    <x v="741"/>
    <x v="2"/>
    <x v="1"/>
    <n v="117.5"/>
    <x v="666"/>
    <x v="31"/>
    <d v="2025-02-02T00:00:00"/>
    <x v="1"/>
    <x v="0"/>
    <x v="0"/>
    <x v="0"/>
    <x v="19"/>
    <x v="3"/>
    <x v="4"/>
    <x v="1"/>
  </r>
  <r>
    <x v="742"/>
    <x v="6"/>
    <x v="1"/>
    <n v="105.7"/>
    <x v="667"/>
    <x v="31"/>
    <d v="2025-02-02T00:00:00"/>
    <x v="2"/>
    <x v="2"/>
    <x v="2"/>
    <x v="0"/>
    <x v="21"/>
    <x v="3"/>
    <x v="4"/>
    <x v="2"/>
  </r>
  <r>
    <x v="743"/>
    <x v="3"/>
    <x v="2"/>
    <n v="133.69999999999999"/>
    <x v="668"/>
    <x v="31"/>
    <d v="2025-02-02T00:00:00"/>
    <x v="0"/>
    <x v="4"/>
    <x v="2"/>
    <x v="0"/>
    <x v="21"/>
    <x v="3"/>
    <x v="4"/>
    <x v="0"/>
  </r>
  <r>
    <x v="744"/>
    <x v="4"/>
    <x v="9"/>
    <n v="46.8"/>
    <x v="540"/>
    <x v="32"/>
    <d v="2025-02-10T00:00:00"/>
    <x v="2"/>
    <x v="0"/>
    <x v="1"/>
    <x v="0"/>
    <x v="21"/>
    <x v="9"/>
    <x v="5"/>
    <x v="2"/>
  </r>
  <r>
    <x v="745"/>
    <x v="10"/>
    <x v="2"/>
    <n v="58.4"/>
    <x v="122"/>
    <x v="32"/>
    <d v="2025-02-04T00:00:00"/>
    <x v="2"/>
    <x v="0"/>
    <x v="0"/>
    <x v="0"/>
    <x v="1"/>
    <x v="1"/>
    <x v="5"/>
    <x v="2"/>
  </r>
  <r>
    <x v="746"/>
    <x v="6"/>
    <x v="11"/>
    <n v="65.099999999999994"/>
    <x v="669"/>
    <x v="32"/>
    <d v="2025-02-06T00:00:00"/>
    <x v="1"/>
    <x v="1"/>
    <x v="2"/>
    <x v="0"/>
    <x v="22"/>
    <x v="5"/>
    <x v="5"/>
    <x v="1"/>
  </r>
  <r>
    <x v="747"/>
    <x v="8"/>
    <x v="0"/>
    <n v="18.600000000000001"/>
    <x v="670"/>
    <x v="32"/>
    <d v="2025-02-05T00:00:00"/>
    <x v="2"/>
    <x v="0"/>
    <x v="4"/>
    <x v="0"/>
    <x v="22"/>
    <x v="2"/>
    <x v="5"/>
    <x v="2"/>
  </r>
  <r>
    <x v="748"/>
    <x v="1"/>
    <x v="5"/>
    <n v="92.3"/>
    <x v="671"/>
    <x v="32"/>
    <d v="2025-02-04T00:00:00"/>
    <x v="1"/>
    <x v="1"/>
    <x v="0"/>
    <x v="0"/>
    <x v="3"/>
    <x v="1"/>
    <x v="5"/>
    <x v="1"/>
  </r>
  <r>
    <x v="749"/>
    <x v="6"/>
    <x v="2"/>
    <n v="81.7"/>
    <x v="672"/>
    <x v="32"/>
    <d v="2025-02-03T00:00:00"/>
    <x v="0"/>
    <x v="4"/>
    <x v="4"/>
    <x v="0"/>
    <x v="3"/>
    <x v="3"/>
    <x v="5"/>
    <x v="0"/>
  </r>
  <r>
    <x v="750"/>
    <x v="8"/>
    <x v="1"/>
    <n v="40.9"/>
    <x v="673"/>
    <x v="32"/>
    <d v="2025-02-04T00:00:00"/>
    <x v="1"/>
    <x v="0"/>
    <x v="1"/>
    <x v="0"/>
    <x v="3"/>
    <x v="1"/>
    <x v="5"/>
    <x v="1"/>
  </r>
  <r>
    <x v="751"/>
    <x v="6"/>
    <x v="12"/>
    <n v="43.2"/>
    <x v="162"/>
    <x v="32"/>
    <d v="2025-02-08T00:00:00"/>
    <x v="2"/>
    <x v="0"/>
    <x v="1"/>
    <x v="0"/>
    <x v="3"/>
    <x v="4"/>
    <x v="5"/>
    <x v="2"/>
  </r>
  <r>
    <x v="752"/>
    <x v="8"/>
    <x v="5"/>
    <n v="25.8"/>
    <x v="674"/>
    <x v="32"/>
    <d v="2025-02-05T00:00:00"/>
    <x v="1"/>
    <x v="2"/>
    <x v="1"/>
    <x v="0"/>
    <x v="3"/>
    <x v="2"/>
    <x v="5"/>
    <x v="1"/>
  </r>
  <r>
    <x v="753"/>
    <x v="15"/>
    <x v="12"/>
    <n v="36.4"/>
    <x v="675"/>
    <x v="32"/>
    <d v="2025-02-03T00:00:00"/>
    <x v="1"/>
    <x v="0"/>
    <x v="0"/>
    <x v="0"/>
    <x v="3"/>
    <x v="3"/>
    <x v="5"/>
    <x v="1"/>
  </r>
  <r>
    <x v="754"/>
    <x v="10"/>
    <x v="0"/>
    <n v="59.1"/>
    <x v="676"/>
    <x v="32"/>
    <d v="2025-02-03T00:00:00"/>
    <x v="2"/>
    <x v="2"/>
    <x v="0"/>
    <x v="0"/>
    <x v="7"/>
    <x v="3"/>
    <x v="5"/>
    <x v="2"/>
  </r>
  <r>
    <x v="755"/>
    <x v="2"/>
    <x v="14"/>
    <n v="74.5"/>
    <x v="677"/>
    <x v="32"/>
    <d v="2025-02-04T00:00:00"/>
    <x v="1"/>
    <x v="4"/>
    <x v="0"/>
    <x v="0"/>
    <x v="18"/>
    <x v="1"/>
    <x v="5"/>
    <x v="1"/>
  </r>
  <r>
    <x v="756"/>
    <x v="5"/>
    <x v="0"/>
    <n v="72.8"/>
    <x v="236"/>
    <x v="32"/>
    <d v="2025-02-03T00:00:00"/>
    <x v="2"/>
    <x v="0"/>
    <x v="1"/>
    <x v="0"/>
    <x v="19"/>
    <x v="3"/>
    <x v="5"/>
    <x v="2"/>
  </r>
  <r>
    <x v="757"/>
    <x v="6"/>
    <x v="12"/>
    <n v="137.30000000000001"/>
    <x v="678"/>
    <x v="32"/>
    <d v="2025-02-05T00:00:00"/>
    <x v="2"/>
    <x v="0"/>
    <x v="0"/>
    <x v="0"/>
    <x v="13"/>
    <x v="2"/>
    <x v="5"/>
    <x v="2"/>
  </r>
  <r>
    <x v="758"/>
    <x v="1"/>
    <x v="2"/>
    <n v="48.7"/>
    <x v="599"/>
    <x v="32"/>
    <d v="2025-02-07T00:00:00"/>
    <x v="2"/>
    <x v="0"/>
    <x v="1"/>
    <x v="0"/>
    <x v="21"/>
    <x v="0"/>
    <x v="5"/>
    <x v="2"/>
  </r>
  <r>
    <x v="759"/>
    <x v="6"/>
    <x v="12"/>
    <n v="53.7"/>
    <x v="679"/>
    <x v="32"/>
    <d v="2025-02-06T00:00:00"/>
    <x v="1"/>
    <x v="1"/>
    <x v="4"/>
    <x v="0"/>
    <x v="2"/>
    <x v="5"/>
    <x v="5"/>
    <x v="1"/>
  </r>
  <r>
    <x v="760"/>
    <x v="2"/>
    <x v="3"/>
    <n v="100.9"/>
    <x v="680"/>
    <x v="32"/>
    <d v="2025-02-04T00:00:00"/>
    <x v="2"/>
    <x v="0"/>
    <x v="1"/>
    <x v="0"/>
    <x v="2"/>
    <x v="1"/>
    <x v="5"/>
    <x v="2"/>
  </r>
  <r>
    <x v="761"/>
    <x v="10"/>
    <x v="1"/>
    <n v="41.8"/>
    <x v="681"/>
    <x v="32"/>
    <d v="2025-02-06T00:00:00"/>
    <x v="1"/>
    <x v="3"/>
    <x v="2"/>
    <x v="0"/>
    <x v="22"/>
    <x v="5"/>
    <x v="5"/>
    <x v="1"/>
  </r>
  <r>
    <x v="762"/>
    <x v="4"/>
    <x v="8"/>
    <n v="28.5"/>
    <x v="416"/>
    <x v="32"/>
    <d v="2025-02-04T00:00:00"/>
    <x v="1"/>
    <x v="2"/>
    <x v="1"/>
    <x v="0"/>
    <x v="3"/>
    <x v="1"/>
    <x v="5"/>
    <x v="1"/>
  </r>
  <r>
    <x v="763"/>
    <x v="7"/>
    <x v="12"/>
    <n v="88.9"/>
    <x v="682"/>
    <x v="32"/>
    <d v="2025-02-05T00:00:00"/>
    <x v="2"/>
    <x v="0"/>
    <x v="2"/>
    <x v="0"/>
    <x v="3"/>
    <x v="2"/>
    <x v="5"/>
    <x v="2"/>
  </r>
  <r>
    <x v="764"/>
    <x v="6"/>
    <x v="0"/>
    <n v="62.5"/>
    <x v="683"/>
    <x v="32"/>
    <d v="2025-02-11T00:00:00"/>
    <x v="2"/>
    <x v="0"/>
    <x v="2"/>
    <x v="0"/>
    <x v="3"/>
    <x v="8"/>
    <x v="5"/>
    <x v="2"/>
  </r>
  <r>
    <x v="765"/>
    <x v="1"/>
    <x v="2"/>
    <n v="46.9"/>
    <x v="684"/>
    <x v="32"/>
    <d v="2025-02-03T00:00:00"/>
    <x v="1"/>
    <x v="0"/>
    <x v="2"/>
    <x v="0"/>
    <x v="3"/>
    <x v="3"/>
    <x v="5"/>
    <x v="1"/>
  </r>
  <r>
    <x v="766"/>
    <x v="8"/>
    <x v="2"/>
    <n v="45"/>
    <x v="340"/>
    <x v="32"/>
    <d v="2025-02-16T00:00:00"/>
    <x v="1"/>
    <x v="1"/>
    <x v="0"/>
    <x v="0"/>
    <x v="3"/>
    <x v="12"/>
    <x v="5"/>
    <x v="1"/>
  </r>
  <r>
    <x v="767"/>
    <x v="6"/>
    <x v="2"/>
    <n v="45.2"/>
    <x v="685"/>
    <x v="32"/>
    <d v="2025-02-04T00:00:00"/>
    <x v="1"/>
    <x v="4"/>
    <x v="2"/>
    <x v="0"/>
    <x v="3"/>
    <x v="1"/>
    <x v="5"/>
    <x v="1"/>
  </r>
  <r>
    <x v="768"/>
    <x v="4"/>
    <x v="1"/>
    <n v="60.1"/>
    <x v="493"/>
    <x v="32"/>
    <d v="2025-02-03T00:00:00"/>
    <x v="2"/>
    <x v="0"/>
    <x v="2"/>
    <x v="0"/>
    <x v="3"/>
    <x v="3"/>
    <x v="5"/>
    <x v="2"/>
  </r>
  <r>
    <x v="769"/>
    <x v="12"/>
    <x v="12"/>
    <n v="118.7"/>
    <x v="686"/>
    <x v="32"/>
    <d v="2025-02-04T00:00:00"/>
    <x v="2"/>
    <x v="0"/>
    <x v="0"/>
    <x v="0"/>
    <x v="3"/>
    <x v="1"/>
    <x v="5"/>
    <x v="2"/>
  </r>
  <r>
    <x v="770"/>
    <x v="9"/>
    <x v="0"/>
    <n v="57.8"/>
    <x v="687"/>
    <x v="32"/>
    <d v="2025-02-11T00:00:00"/>
    <x v="2"/>
    <x v="1"/>
    <x v="0"/>
    <x v="0"/>
    <x v="3"/>
    <x v="8"/>
    <x v="5"/>
    <x v="2"/>
  </r>
  <r>
    <x v="771"/>
    <x v="4"/>
    <x v="0"/>
    <n v="19.5"/>
    <x v="688"/>
    <x v="32"/>
    <d v="2025-02-03T00:00:00"/>
    <x v="1"/>
    <x v="1"/>
    <x v="1"/>
    <x v="0"/>
    <x v="3"/>
    <x v="3"/>
    <x v="5"/>
    <x v="1"/>
  </r>
  <r>
    <x v="772"/>
    <x v="12"/>
    <x v="0"/>
    <n v="42.6"/>
    <x v="440"/>
    <x v="32"/>
    <d v="2025-02-03T00:00:00"/>
    <x v="1"/>
    <x v="0"/>
    <x v="1"/>
    <x v="0"/>
    <x v="3"/>
    <x v="3"/>
    <x v="5"/>
    <x v="1"/>
  </r>
  <r>
    <x v="773"/>
    <x v="6"/>
    <x v="1"/>
    <n v="74.8"/>
    <x v="689"/>
    <x v="32"/>
    <d v="2025-02-03T00:00:00"/>
    <x v="2"/>
    <x v="3"/>
    <x v="2"/>
    <x v="0"/>
    <x v="37"/>
    <x v="3"/>
    <x v="5"/>
    <x v="2"/>
  </r>
  <r>
    <x v="774"/>
    <x v="8"/>
    <x v="2"/>
    <n v="32.5"/>
    <x v="647"/>
    <x v="32"/>
    <d v="2025-02-03T00:00:00"/>
    <x v="1"/>
    <x v="2"/>
    <x v="4"/>
    <x v="0"/>
    <x v="16"/>
    <x v="3"/>
    <x v="5"/>
    <x v="1"/>
  </r>
  <r>
    <x v="775"/>
    <x v="2"/>
    <x v="2"/>
    <n v="60.5"/>
    <x v="690"/>
    <x v="32"/>
    <d v="2025-02-02T00:00:00"/>
    <x v="2"/>
    <x v="1"/>
    <x v="2"/>
    <x v="0"/>
    <x v="25"/>
    <x v="7"/>
    <x v="5"/>
    <x v="2"/>
  </r>
  <r>
    <x v="776"/>
    <x v="1"/>
    <x v="3"/>
    <n v="57.2"/>
    <x v="691"/>
    <x v="32"/>
    <d v="2025-02-04T00:00:00"/>
    <x v="0"/>
    <x v="2"/>
    <x v="0"/>
    <x v="0"/>
    <x v="25"/>
    <x v="1"/>
    <x v="5"/>
    <x v="0"/>
  </r>
  <r>
    <x v="777"/>
    <x v="16"/>
    <x v="1"/>
    <n v="112"/>
    <x v="692"/>
    <x v="32"/>
    <d v="2025-02-03T00:00:00"/>
    <x v="2"/>
    <x v="1"/>
    <x v="1"/>
    <x v="0"/>
    <x v="5"/>
    <x v="3"/>
    <x v="5"/>
    <x v="2"/>
  </r>
  <r>
    <x v="778"/>
    <x v="7"/>
    <x v="7"/>
    <n v="49"/>
    <x v="157"/>
    <x v="32"/>
    <d v="2025-02-03T00:00:00"/>
    <x v="3"/>
    <x v="2"/>
    <x v="1"/>
    <x v="0"/>
    <x v="6"/>
    <x v="3"/>
    <x v="5"/>
    <x v="3"/>
  </r>
  <r>
    <x v="779"/>
    <x v="0"/>
    <x v="1"/>
    <n v="33.700000000000003"/>
    <x v="693"/>
    <x v="32"/>
    <d v="2025-02-06T00:00:00"/>
    <x v="2"/>
    <x v="3"/>
    <x v="0"/>
    <x v="0"/>
    <x v="6"/>
    <x v="5"/>
    <x v="5"/>
    <x v="2"/>
  </r>
  <r>
    <x v="780"/>
    <x v="4"/>
    <x v="2"/>
    <n v="35.6"/>
    <x v="694"/>
    <x v="32"/>
    <d v="2025-02-05T00:00:00"/>
    <x v="2"/>
    <x v="0"/>
    <x v="2"/>
    <x v="0"/>
    <x v="6"/>
    <x v="2"/>
    <x v="5"/>
    <x v="2"/>
  </r>
  <r>
    <x v="781"/>
    <x v="4"/>
    <x v="36"/>
    <n v="30.4"/>
    <x v="695"/>
    <x v="33"/>
    <d v="2025-02-03T00:00:00"/>
    <x v="2"/>
    <x v="0"/>
    <x v="1"/>
    <x v="0"/>
    <x v="7"/>
    <x v="7"/>
    <x v="5"/>
    <x v="2"/>
  </r>
  <r>
    <x v="782"/>
    <x v="10"/>
    <x v="4"/>
    <n v="50.2"/>
    <x v="696"/>
    <x v="33"/>
    <d v="2025-02-04T00:00:00"/>
    <x v="1"/>
    <x v="4"/>
    <x v="0"/>
    <x v="0"/>
    <x v="8"/>
    <x v="3"/>
    <x v="5"/>
    <x v="1"/>
  </r>
  <r>
    <x v="783"/>
    <x v="1"/>
    <x v="1"/>
    <n v="43.7"/>
    <x v="697"/>
    <x v="33"/>
    <d v="2025-02-05T00:00:00"/>
    <x v="2"/>
    <x v="0"/>
    <x v="0"/>
    <x v="0"/>
    <x v="8"/>
    <x v="1"/>
    <x v="5"/>
    <x v="2"/>
  </r>
  <r>
    <x v="784"/>
    <x v="10"/>
    <x v="0"/>
    <n v="33.299999999999997"/>
    <x v="698"/>
    <x v="33"/>
    <d v="2025-02-04T00:00:00"/>
    <x v="2"/>
    <x v="2"/>
    <x v="1"/>
    <x v="0"/>
    <x v="8"/>
    <x v="3"/>
    <x v="5"/>
    <x v="2"/>
  </r>
  <r>
    <x v="785"/>
    <x v="8"/>
    <x v="12"/>
    <n v="15.1"/>
    <x v="266"/>
    <x v="33"/>
    <d v="2025-02-05T00:00:00"/>
    <x v="2"/>
    <x v="4"/>
    <x v="2"/>
    <x v="0"/>
    <x v="8"/>
    <x v="1"/>
    <x v="5"/>
    <x v="2"/>
  </r>
  <r>
    <x v="786"/>
    <x v="6"/>
    <x v="9"/>
    <n v="118.2"/>
    <x v="699"/>
    <x v="33"/>
    <d v="2025-02-04T00:00:00"/>
    <x v="2"/>
    <x v="3"/>
    <x v="4"/>
    <x v="0"/>
    <x v="8"/>
    <x v="3"/>
    <x v="5"/>
    <x v="2"/>
  </r>
  <r>
    <x v="787"/>
    <x v="10"/>
    <x v="2"/>
    <n v="28.9"/>
    <x v="700"/>
    <x v="33"/>
    <d v="2025-02-05T00:00:00"/>
    <x v="2"/>
    <x v="2"/>
    <x v="1"/>
    <x v="0"/>
    <x v="8"/>
    <x v="1"/>
    <x v="5"/>
    <x v="2"/>
  </r>
  <r>
    <x v="788"/>
    <x v="4"/>
    <x v="2"/>
    <n v="55.6"/>
    <x v="701"/>
    <x v="33"/>
    <d v="2025-02-04T00:00:00"/>
    <x v="1"/>
    <x v="0"/>
    <x v="1"/>
    <x v="0"/>
    <x v="8"/>
    <x v="3"/>
    <x v="5"/>
    <x v="1"/>
  </r>
  <r>
    <x v="789"/>
    <x v="9"/>
    <x v="12"/>
    <n v="25.6"/>
    <x v="298"/>
    <x v="33"/>
    <d v="2025-02-05T00:00:00"/>
    <x v="2"/>
    <x v="0"/>
    <x v="1"/>
    <x v="0"/>
    <x v="8"/>
    <x v="1"/>
    <x v="5"/>
    <x v="2"/>
  </r>
  <r>
    <x v="790"/>
    <x v="7"/>
    <x v="2"/>
    <n v="31.3"/>
    <x v="442"/>
    <x v="33"/>
    <d v="2025-02-04T00:00:00"/>
    <x v="1"/>
    <x v="0"/>
    <x v="0"/>
    <x v="0"/>
    <x v="17"/>
    <x v="3"/>
    <x v="5"/>
    <x v="1"/>
  </r>
  <r>
    <x v="791"/>
    <x v="0"/>
    <x v="2"/>
    <n v="22.1"/>
    <x v="702"/>
    <x v="33"/>
    <d v="2025-02-07T00:00:00"/>
    <x v="1"/>
    <x v="0"/>
    <x v="0"/>
    <x v="0"/>
    <x v="17"/>
    <x v="5"/>
    <x v="5"/>
    <x v="1"/>
  </r>
  <r>
    <x v="792"/>
    <x v="2"/>
    <x v="21"/>
    <n v="99.4"/>
    <x v="703"/>
    <x v="33"/>
    <d v="2025-02-04T00:00:00"/>
    <x v="1"/>
    <x v="1"/>
    <x v="0"/>
    <x v="0"/>
    <x v="11"/>
    <x v="3"/>
    <x v="5"/>
    <x v="1"/>
  </r>
  <r>
    <x v="793"/>
    <x v="7"/>
    <x v="13"/>
    <n v="66.599999999999994"/>
    <x v="704"/>
    <x v="33"/>
    <d v="2025-02-04T00:00:00"/>
    <x v="2"/>
    <x v="0"/>
    <x v="0"/>
    <x v="0"/>
    <x v="11"/>
    <x v="3"/>
    <x v="5"/>
    <x v="2"/>
  </r>
  <r>
    <x v="794"/>
    <x v="8"/>
    <x v="1"/>
    <n v="22.6"/>
    <x v="705"/>
    <x v="33"/>
    <d v="2025-02-06T00:00:00"/>
    <x v="1"/>
    <x v="0"/>
    <x v="0"/>
    <x v="0"/>
    <x v="11"/>
    <x v="2"/>
    <x v="5"/>
    <x v="1"/>
  </r>
  <r>
    <x v="795"/>
    <x v="2"/>
    <x v="16"/>
    <n v="66.8"/>
    <x v="706"/>
    <x v="33"/>
    <d v="2025-02-04T00:00:00"/>
    <x v="2"/>
    <x v="0"/>
    <x v="4"/>
    <x v="0"/>
    <x v="13"/>
    <x v="3"/>
    <x v="5"/>
    <x v="2"/>
  </r>
  <r>
    <x v="796"/>
    <x v="0"/>
    <x v="12"/>
    <n v="20.8"/>
    <x v="707"/>
    <x v="33"/>
    <d v="2025-02-10T00:00:00"/>
    <x v="1"/>
    <x v="1"/>
    <x v="4"/>
    <x v="0"/>
    <x v="1"/>
    <x v="6"/>
    <x v="5"/>
    <x v="1"/>
  </r>
  <r>
    <x v="797"/>
    <x v="2"/>
    <x v="3"/>
    <n v="102.5"/>
    <x v="708"/>
    <x v="33"/>
    <d v="2025-02-04T00:00:00"/>
    <x v="2"/>
    <x v="4"/>
    <x v="2"/>
    <x v="0"/>
    <x v="3"/>
    <x v="3"/>
    <x v="5"/>
    <x v="2"/>
  </r>
  <r>
    <x v="798"/>
    <x v="0"/>
    <x v="16"/>
    <n v="24.8"/>
    <x v="709"/>
    <x v="33"/>
    <d v="2025-02-07T00:00:00"/>
    <x v="2"/>
    <x v="0"/>
    <x v="0"/>
    <x v="0"/>
    <x v="3"/>
    <x v="5"/>
    <x v="5"/>
    <x v="2"/>
  </r>
  <r>
    <x v="799"/>
    <x v="4"/>
    <x v="37"/>
    <n v="31.4"/>
    <x v="710"/>
    <x v="33"/>
    <d v="2025-02-04T00:00:00"/>
    <x v="2"/>
    <x v="3"/>
    <x v="0"/>
    <x v="0"/>
    <x v="3"/>
    <x v="3"/>
    <x v="5"/>
    <x v="2"/>
  </r>
  <r>
    <x v="800"/>
    <x v="9"/>
    <x v="9"/>
    <n v="59.3"/>
    <x v="711"/>
    <x v="33"/>
    <d v="2025-02-06T00:00:00"/>
    <x v="1"/>
    <x v="1"/>
    <x v="2"/>
    <x v="0"/>
    <x v="43"/>
    <x v="2"/>
    <x v="5"/>
    <x v="1"/>
  </r>
  <r>
    <x v="801"/>
    <x v="11"/>
    <x v="13"/>
    <n v="39"/>
    <x v="540"/>
    <x v="33"/>
    <d v="2025-02-06T00:00:00"/>
    <x v="1"/>
    <x v="1"/>
    <x v="0"/>
    <x v="0"/>
    <x v="6"/>
    <x v="2"/>
    <x v="5"/>
    <x v="1"/>
  </r>
  <r>
    <x v="802"/>
    <x v="5"/>
    <x v="13"/>
    <n v="98.6"/>
    <x v="712"/>
    <x v="33"/>
    <d v="2025-02-05T00:00:00"/>
    <x v="2"/>
    <x v="1"/>
    <x v="0"/>
    <x v="0"/>
    <x v="6"/>
    <x v="1"/>
    <x v="5"/>
    <x v="2"/>
  </r>
  <r>
    <x v="803"/>
    <x v="8"/>
    <x v="0"/>
    <n v="20"/>
    <x v="614"/>
    <x v="34"/>
    <d v="2025-02-05T00:00:00"/>
    <x v="1"/>
    <x v="3"/>
    <x v="2"/>
    <x v="0"/>
    <x v="8"/>
    <x v="3"/>
    <x v="5"/>
    <x v="1"/>
  </r>
  <r>
    <x v="804"/>
    <x v="1"/>
    <x v="1"/>
    <n v="42.9"/>
    <x v="550"/>
    <x v="34"/>
    <d v="2025-02-06T00:00:00"/>
    <x v="2"/>
    <x v="0"/>
    <x v="2"/>
    <x v="0"/>
    <x v="8"/>
    <x v="1"/>
    <x v="5"/>
    <x v="2"/>
  </r>
  <r>
    <x v="805"/>
    <x v="7"/>
    <x v="3"/>
    <n v="55.6"/>
    <x v="713"/>
    <x v="34"/>
    <d v="2025-02-06T00:00:00"/>
    <x v="2"/>
    <x v="2"/>
    <x v="1"/>
    <x v="0"/>
    <x v="8"/>
    <x v="1"/>
    <x v="5"/>
    <x v="2"/>
  </r>
  <r>
    <x v="806"/>
    <x v="8"/>
    <x v="12"/>
    <n v="19.2"/>
    <x v="714"/>
    <x v="34"/>
    <d v="2025-02-09T00:00:00"/>
    <x v="2"/>
    <x v="0"/>
    <x v="0"/>
    <x v="0"/>
    <x v="41"/>
    <x v="0"/>
    <x v="5"/>
    <x v="2"/>
  </r>
  <r>
    <x v="807"/>
    <x v="5"/>
    <x v="1"/>
    <n v="28.8"/>
    <x v="636"/>
    <x v="34"/>
    <d v="2025-02-06T00:00:00"/>
    <x v="1"/>
    <x v="1"/>
    <x v="0"/>
    <x v="0"/>
    <x v="18"/>
    <x v="1"/>
    <x v="5"/>
    <x v="1"/>
  </r>
  <r>
    <x v="808"/>
    <x v="4"/>
    <x v="0"/>
    <n v="29.7"/>
    <x v="47"/>
    <x v="34"/>
    <d v="2025-02-06T00:00:00"/>
    <x v="2"/>
    <x v="2"/>
    <x v="4"/>
    <x v="0"/>
    <x v="20"/>
    <x v="1"/>
    <x v="5"/>
    <x v="2"/>
  </r>
  <r>
    <x v="809"/>
    <x v="6"/>
    <x v="13"/>
    <n v="63.3"/>
    <x v="715"/>
    <x v="34"/>
    <d v="2025-02-05T00:00:00"/>
    <x v="0"/>
    <x v="0"/>
    <x v="2"/>
    <x v="0"/>
    <x v="21"/>
    <x v="3"/>
    <x v="5"/>
    <x v="0"/>
  </r>
  <r>
    <x v="810"/>
    <x v="4"/>
    <x v="0"/>
    <n v="46"/>
    <x v="716"/>
    <x v="34"/>
    <d v="2025-02-05T00:00:00"/>
    <x v="2"/>
    <x v="0"/>
    <x v="2"/>
    <x v="0"/>
    <x v="21"/>
    <x v="3"/>
    <x v="5"/>
    <x v="2"/>
  </r>
  <r>
    <x v="811"/>
    <x v="11"/>
    <x v="2"/>
    <n v="38"/>
    <x v="717"/>
    <x v="34"/>
    <d v="2025-02-06T00:00:00"/>
    <x v="2"/>
    <x v="1"/>
    <x v="2"/>
    <x v="0"/>
    <x v="21"/>
    <x v="1"/>
    <x v="5"/>
    <x v="2"/>
  </r>
  <r>
    <x v="812"/>
    <x v="10"/>
    <x v="15"/>
    <n v="34.6"/>
    <x v="327"/>
    <x v="34"/>
    <d v="2025-02-06T00:00:00"/>
    <x v="2"/>
    <x v="0"/>
    <x v="1"/>
    <x v="0"/>
    <x v="21"/>
    <x v="1"/>
    <x v="5"/>
    <x v="2"/>
  </r>
  <r>
    <x v="813"/>
    <x v="3"/>
    <x v="7"/>
    <n v="79.7"/>
    <x v="718"/>
    <x v="34"/>
    <d v="2025-02-05T00:00:00"/>
    <x v="2"/>
    <x v="4"/>
    <x v="1"/>
    <x v="0"/>
    <x v="21"/>
    <x v="3"/>
    <x v="5"/>
    <x v="2"/>
  </r>
  <r>
    <x v="814"/>
    <x v="8"/>
    <x v="8"/>
    <n v="30.5"/>
    <x v="719"/>
    <x v="34"/>
    <d v="2025-02-08T00:00:00"/>
    <x v="1"/>
    <x v="3"/>
    <x v="0"/>
    <x v="0"/>
    <x v="1"/>
    <x v="5"/>
    <x v="5"/>
    <x v="1"/>
  </r>
  <r>
    <x v="815"/>
    <x v="0"/>
    <x v="1"/>
    <n v="20.8"/>
    <x v="480"/>
    <x v="34"/>
    <d v="2025-02-05T00:00:00"/>
    <x v="2"/>
    <x v="0"/>
    <x v="0"/>
    <x v="0"/>
    <x v="2"/>
    <x v="3"/>
    <x v="5"/>
    <x v="2"/>
  </r>
  <r>
    <x v="816"/>
    <x v="11"/>
    <x v="3"/>
    <n v="48.5"/>
    <x v="720"/>
    <x v="34"/>
    <d v="2025-02-08T00:00:00"/>
    <x v="2"/>
    <x v="2"/>
    <x v="2"/>
    <x v="0"/>
    <x v="2"/>
    <x v="5"/>
    <x v="5"/>
    <x v="2"/>
  </r>
  <r>
    <x v="817"/>
    <x v="2"/>
    <x v="12"/>
    <n v="61.8"/>
    <x v="721"/>
    <x v="34"/>
    <d v="2025-02-08T00:00:00"/>
    <x v="2"/>
    <x v="4"/>
    <x v="0"/>
    <x v="0"/>
    <x v="22"/>
    <x v="5"/>
    <x v="5"/>
    <x v="2"/>
  </r>
  <r>
    <x v="818"/>
    <x v="10"/>
    <x v="0"/>
    <n v="46.1"/>
    <x v="722"/>
    <x v="34"/>
    <d v="2025-02-05T00:00:00"/>
    <x v="3"/>
    <x v="2"/>
    <x v="0"/>
    <x v="0"/>
    <x v="3"/>
    <x v="3"/>
    <x v="5"/>
    <x v="3"/>
  </r>
  <r>
    <x v="819"/>
    <x v="4"/>
    <x v="13"/>
    <n v="44"/>
    <x v="723"/>
    <x v="34"/>
    <d v="2025-02-05T00:00:00"/>
    <x v="2"/>
    <x v="0"/>
    <x v="0"/>
    <x v="0"/>
    <x v="3"/>
    <x v="3"/>
    <x v="5"/>
    <x v="2"/>
  </r>
  <r>
    <x v="820"/>
    <x v="18"/>
    <x v="1"/>
    <n v="95.7"/>
    <x v="724"/>
    <x v="34"/>
    <d v="2025-02-10T00:00:00"/>
    <x v="2"/>
    <x v="3"/>
    <x v="2"/>
    <x v="0"/>
    <x v="3"/>
    <x v="4"/>
    <x v="5"/>
    <x v="2"/>
  </r>
  <r>
    <x v="821"/>
    <x v="7"/>
    <x v="9"/>
    <n v="46.4"/>
    <x v="615"/>
    <x v="34"/>
    <d v="2025-02-07T00:00:00"/>
    <x v="2"/>
    <x v="0"/>
    <x v="0"/>
    <x v="0"/>
    <x v="3"/>
    <x v="2"/>
    <x v="5"/>
    <x v="2"/>
  </r>
  <r>
    <x v="822"/>
    <x v="6"/>
    <x v="1"/>
    <n v="47.2"/>
    <x v="725"/>
    <x v="34"/>
    <d v="2025-02-06T00:00:00"/>
    <x v="2"/>
    <x v="0"/>
    <x v="2"/>
    <x v="0"/>
    <x v="3"/>
    <x v="1"/>
    <x v="5"/>
    <x v="2"/>
  </r>
  <r>
    <x v="823"/>
    <x v="7"/>
    <x v="1"/>
    <n v="58.6"/>
    <x v="726"/>
    <x v="34"/>
    <d v="2025-02-05T00:00:00"/>
    <x v="2"/>
    <x v="2"/>
    <x v="1"/>
    <x v="0"/>
    <x v="3"/>
    <x v="3"/>
    <x v="5"/>
    <x v="2"/>
  </r>
  <r>
    <x v="824"/>
    <x v="4"/>
    <x v="2"/>
    <n v="57"/>
    <x v="727"/>
    <x v="34"/>
    <d v="2025-02-05T00:00:00"/>
    <x v="1"/>
    <x v="0"/>
    <x v="2"/>
    <x v="0"/>
    <x v="3"/>
    <x v="3"/>
    <x v="5"/>
    <x v="1"/>
  </r>
  <r>
    <x v="825"/>
    <x v="8"/>
    <x v="12"/>
    <n v="28.9"/>
    <x v="446"/>
    <x v="34"/>
    <d v="2025-02-08T00:00:00"/>
    <x v="1"/>
    <x v="2"/>
    <x v="0"/>
    <x v="0"/>
    <x v="3"/>
    <x v="5"/>
    <x v="5"/>
    <x v="1"/>
  </r>
  <r>
    <x v="826"/>
    <x v="12"/>
    <x v="9"/>
    <n v="60.7"/>
    <x v="728"/>
    <x v="34"/>
    <d v="2025-02-08T00:00:00"/>
    <x v="0"/>
    <x v="1"/>
    <x v="1"/>
    <x v="0"/>
    <x v="3"/>
    <x v="5"/>
    <x v="5"/>
    <x v="0"/>
  </r>
  <r>
    <x v="827"/>
    <x v="6"/>
    <x v="9"/>
    <n v="60.8"/>
    <x v="729"/>
    <x v="34"/>
    <d v="2025-02-08T00:00:00"/>
    <x v="1"/>
    <x v="0"/>
    <x v="1"/>
    <x v="0"/>
    <x v="3"/>
    <x v="5"/>
    <x v="5"/>
    <x v="1"/>
  </r>
  <r>
    <x v="828"/>
    <x v="6"/>
    <x v="9"/>
    <n v="64.599999999999994"/>
    <x v="730"/>
    <x v="34"/>
    <d v="2025-02-05T00:00:00"/>
    <x v="2"/>
    <x v="3"/>
    <x v="0"/>
    <x v="0"/>
    <x v="3"/>
    <x v="3"/>
    <x v="5"/>
    <x v="2"/>
  </r>
  <r>
    <x v="829"/>
    <x v="8"/>
    <x v="0"/>
    <n v="21.9"/>
    <x v="731"/>
    <x v="34"/>
    <d v="2025-02-07T00:00:00"/>
    <x v="1"/>
    <x v="1"/>
    <x v="2"/>
    <x v="0"/>
    <x v="4"/>
    <x v="2"/>
    <x v="5"/>
    <x v="1"/>
  </r>
  <r>
    <x v="830"/>
    <x v="4"/>
    <x v="4"/>
    <n v="33.4"/>
    <x v="732"/>
    <x v="34"/>
    <d v="2025-02-06T00:00:00"/>
    <x v="2"/>
    <x v="0"/>
    <x v="0"/>
    <x v="0"/>
    <x v="23"/>
    <x v="1"/>
    <x v="5"/>
    <x v="2"/>
  </r>
  <r>
    <x v="831"/>
    <x v="2"/>
    <x v="0"/>
    <n v="51.7"/>
    <x v="733"/>
    <x v="34"/>
    <d v="2025-02-05T00:00:00"/>
    <x v="0"/>
    <x v="0"/>
    <x v="0"/>
    <x v="0"/>
    <x v="6"/>
    <x v="3"/>
    <x v="5"/>
    <x v="0"/>
  </r>
  <r>
    <x v="832"/>
    <x v="1"/>
    <x v="12"/>
    <n v="84.9"/>
    <x v="734"/>
    <x v="34"/>
    <d v="2025-02-05T00:00:00"/>
    <x v="2"/>
    <x v="1"/>
    <x v="1"/>
    <x v="0"/>
    <x v="6"/>
    <x v="3"/>
    <x v="5"/>
    <x v="2"/>
  </r>
  <r>
    <x v="833"/>
    <x v="1"/>
    <x v="5"/>
    <n v="62.3"/>
    <x v="735"/>
    <x v="34"/>
    <d v="2025-02-05T00:00:00"/>
    <x v="2"/>
    <x v="2"/>
    <x v="2"/>
    <x v="0"/>
    <x v="7"/>
    <x v="3"/>
    <x v="5"/>
    <x v="2"/>
  </r>
  <r>
    <x v="834"/>
    <x v="4"/>
    <x v="0"/>
    <n v="50.7"/>
    <x v="163"/>
    <x v="34"/>
    <d v="2025-02-06T00:00:00"/>
    <x v="1"/>
    <x v="2"/>
    <x v="2"/>
    <x v="0"/>
    <x v="8"/>
    <x v="1"/>
    <x v="5"/>
    <x v="1"/>
  </r>
  <r>
    <x v="835"/>
    <x v="18"/>
    <x v="0"/>
    <n v="39.5"/>
    <x v="736"/>
    <x v="34"/>
    <d v="2025-02-05T00:00:00"/>
    <x v="1"/>
    <x v="4"/>
    <x v="1"/>
    <x v="0"/>
    <x v="8"/>
    <x v="3"/>
    <x v="5"/>
    <x v="1"/>
  </r>
  <r>
    <x v="836"/>
    <x v="12"/>
    <x v="2"/>
    <n v="30.9"/>
    <x v="737"/>
    <x v="34"/>
    <d v="2025-02-05T00:00:00"/>
    <x v="0"/>
    <x v="4"/>
    <x v="2"/>
    <x v="0"/>
    <x v="8"/>
    <x v="3"/>
    <x v="5"/>
    <x v="0"/>
  </r>
  <r>
    <x v="837"/>
    <x v="1"/>
    <x v="3"/>
    <n v="36.4"/>
    <x v="133"/>
    <x v="34"/>
    <d v="2025-02-07T00:00:00"/>
    <x v="2"/>
    <x v="0"/>
    <x v="2"/>
    <x v="0"/>
    <x v="8"/>
    <x v="2"/>
    <x v="5"/>
    <x v="2"/>
  </r>
  <r>
    <x v="838"/>
    <x v="6"/>
    <x v="8"/>
    <n v="105.6"/>
    <x v="738"/>
    <x v="34"/>
    <d v="2025-02-14T00:00:00"/>
    <x v="2"/>
    <x v="0"/>
    <x v="0"/>
    <x v="0"/>
    <x v="8"/>
    <x v="14"/>
    <x v="5"/>
    <x v="2"/>
  </r>
  <r>
    <x v="839"/>
    <x v="8"/>
    <x v="1"/>
    <n v="22.1"/>
    <x v="573"/>
    <x v="34"/>
    <d v="2025-02-05T00:00:00"/>
    <x v="2"/>
    <x v="0"/>
    <x v="2"/>
    <x v="0"/>
    <x v="17"/>
    <x v="3"/>
    <x v="5"/>
    <x v="2"/>
  </r>
  <r>
    <x v="840"/>
    <x v="0"/>
    <x v="2"/>
    <n v="22.6"/>
    <x v="418"/>
    <x v="34"/>
    <d v="2025-02-05T00:00:00"/>
    <x v="2"/>
    <x v="2"/>
    <x v="0"/>
    <x v="0"/>
    <x v="17"/>
    <x v="3"/>
    <x v="5"/>
    <x v="2"/>
  </r>
  <r>
    <x v="841"/>
    <x v="10"/>
    <x v="13"/>
    <n v="26.3"/>
    <x v="739"/>
    <x v="34"/>
    <d v="2025-02-04T00:00:00"/>
    <x v="2"/>
    <x v="2"/>
    <x v="0"/>
    <x v="0"/>
    <x v="9"/>
    <x v="7"/>
    <x v="5"/>
    <x v="2"/>
  </r>
  <r>
    <x v="842"/>
    <x v="1"/>
    <x v="12"/>
    <n v="37.799999999999997"/>
    <x v="277"/>
    <x v="34"/>
    <d v="2025-02-05T00:00:00"/>
    <x v="2"/>
    <x v="0"/>
    <x v="2"/>
    <x v="0"/>
    <x v="11"/>
    <x v="3"/>
    <x v="5"/>
    <x v="2"/>
  </r>
  <r>
    <x v="843"/>
    <x v="6"/>
    <x v="14"/>
    <n v="96"/>
    <x v="740"/>
    <x v="34"/>
    <d v="2025-02-07T00:00:00"/>
    <x v="2"/>
    <x v="4"/>
    <x v="1"/>
    <x v="0"/>
    <x v="18"/>
    <x v="2"/>
    <x v="5"/>
    <x v="2"/>
  </r>
  <r>
    <x v="844"/>
    <x v="1"/>
    <x v="0"/>
    <n v="83.6"/>
    <x v="681"/>
    <x v="34"/>
    <d v="2025-02-07T00:00:00"/>
    <x v="2"/>
    <x v="2"/>
    <x v="1"/>
    <x v="0"/>
    <x v="19"/>
    <x v="2"/>
    <x v="5"/>
    <x v="2"/>
  </r>
  <r>
    <x v="845"/>
    <x v="2"/>
    <x v="13"/>
    <n v="72.599999999999994"/>
    <x v="349"/>
    <x v="34"/>
    <d v="2025-02-05T00:00:00"/>
    <x v="2"/>
    <x v="0"/>
    <x v="0"/>
    <x v="0"/>
    <x v="21"/>
    <x v="3"/>
    <x v="5"/>
    <x v="2"/>
  </r>
  <r>
    <x v="846"/>
    <x v="5"/>
    <x v="28"/>
    <n v="69.099999999999994"/>
    <x v="741"/>
    <x v="35"/>
    <d v="2025-02-11T00:00:00"/>
    <x v="1"/>
    <x v="0"/>
    <x v="2"/>
    <x v="0"/>
    <x v="21"/>
    <x v="4"/>
    <x v="5"/>
    <x v="1"/>
  </r>
  <r>
    <x v="847"/>
    <x v="4"/>
    <x v="1"/>
    <n v="22.6"/>
    <x v="705"/>
    <x v="35"/>
    <d v="2025-02-07T00:00:00"/>
    <x v="2"/>
    <x v="1"/>
    <x v="2"/>
    <x v="0"/>
    <x v="21"/>
    <x v="1"/>
    <x v="5"/>
    <x v="2"/>
  </r>
  <r>
    <x v="848"/>
    <x v="6"/>
    <x v="1"/>
    <n v="45.3"/>
    <x v="742"/>
    <x v="35"/>
    <d v="2025-02-09T00:00:00"/>
    <x v="1"/>
    <x v="4"/>
    <x v="2"/>
    <x v="0"/>
    <x v="21"/>
    <x v="5"/>
    <x v="5"/>
    <x v="1"/>
  </r>
  <r>
    <x v="849"/>
    <x v="2"/>
    <x v="1"/>
    <n v="115.1"/>
    <x v="743"/>
    <x v="35"/>
    <d v="2025-02-06T00:00:00"/>
    <x v="2"/>
    <x v="1"/>
    <x v="0"/>
    <x v="0"/>
    <x v="1"/>
    <x v="3"/>
    <x v="5"/>
    <x v="2"/>
  </r>
  <r>
    <x v="850"/>
    <x v="18"/>
    <x v="12"/>
    <n v="79"/>
    <x v="744"/>
    <x v="35"/>
    <d v="2025-02-07T00:00:00"/>
    <x v="1"/>
    <x v="2"/>
    <x v="4"/>
    <x v="0"/>
    <x v="1"/>
    <x v="1"/>
    <x v="5"/>
    <x v="1"/>
  </r>
  <r>
    <x v="851"/>
    <x v="6"/>
    <x v="9"/>
    <n v="52.8"/>
    <x v="723"/>
    <x v="35"/>
    <d v="2025-02-06T00:00:00"/>
    <x v="2"/>
    <x v="0"/>
    <x v="0"/>
    <x v="0"/>
    <x v="42"/>
    <x v="3"/>
    <x v="5"/>
    <x v="2"/>
  </r>
  <r>
    <x v="852"/>
    <x v="8"/>
    <x v="1"/>
    <n v="34.1"/>
    <x v="745"/>
    <x v="35"/>
    <d v="2025-02-06T00:00:00"/>
    <x v="1"/>
    <x v="3"/>
    <x v="2"/>
    <x v="0"/>
    <x v="44"/>
    <x v="3"/>
    <x v="5"/>
    <x v="1"/>
  </r>
  <r>
    <x v="853"/>
    <x v="6"/>
    <x v="9"/>
    <n v="107.9"/>
    <x v="746"/>
    <x v="35"/>
    <d v="2025-02-05T00:00:00"/>
    <x v="2"/>
    <x v="0"/>
    <x v="2"/>
    <x v="0"/>
    <x v="50"/>
    <x v="7"/>
    <x v="5"/>
    <x v="2"/>
  </r>
  <r>
    <x v="854"/>
    <x v="8"/>
    <x v="15"/>
    <n v="48.5"/>
    <x v="747"/>
    <x v="35"/>
    <d v="2025-02-05T00:00:00"/>
    <x v="1"/>
    <x v="2"/>
    <x v="2"/>
    <x v="0"/>
    <x v="3"/>
    <x v="7"/>
    <x v="5"/>
    <x v="1"/>
  </r>
  <r>
    <x v="855"/>
    <x v="5"/>
    <x v="2"/>
    <n v="34.700000000000003"/>
    <x v="748"/>
    <x v="35"/>
    <d v="2025-02-06T00:00:00"/>
    <x v="0"/>
    <x v="4"/>
    <x v="1"/>
    <x v="0"/>
    <x v="3"/>
    <x v="3"/>
    <x v="5"/>
    <x v="0"/>
  </r>
  <r>
    <x v="856"/>
    <x v="8"/>
    <x v="0"/>
    <n v="16.8"/>
    <x v="749"/>
    <x v="35"/>
    <d v="2025-02-07T00:00:00"/>
    <x v="2"/>
    <x v="3"/>
    <x v="0"/>
    <x v="0"/>
    <x v="3"/>
    <x v="1"/>
    <x v="5"/>
    <x v="2"/>
  </r>
  <r>
    <x v="857"/>
    <x v="8"/>
    <x v="13"/>
    <n v="18.3"/>
    <x v="17"/>
    <x v="35"/>
    <d v="2025-02-08T00:00:00"/>
    <x v="2"/>
    <x v="0"/>
    <x v="0"/>
    <x v="0"/>
    <x v="3"/>
    <x v="2"/>
    <x v="5"/>
    <x v="2"/>
  </r>
  <r>
    <x v="858"/>
    <x v="18"/>
    <x v="2"/>
    <n v="55.9"/>
    <x v="750"/>
    <x v="35"/>
    <d v="2025-02-11T00:00:00"/>
    <x v="1"/>
    <x v="3"/>
    <x v="1"/>
    <x v="0"/>
    <x v="3"/>
    <x v="4"/>
    <x v="5"/>
    <x v="1"/>
  </r>
  <r>
    <x v="859"/>
    <x v="8"/>
    <x v="2"/>
    <n v="39.200000000000003"/>
    <x v="557"/>
    <x v="35"/>
    <d v="2025-02-07T00:00:00"/>
    <x v="2"/>
    <x v="0"/>
    <x v="1"/>
    <x v="0"/>
    <x v="3"/>
    <x v="1"/>
    <x v="5"/>
    <x v="2"/>
  </r>
  <r>
    <x v="860"/>
    <x v="15"/>
    <x v="12"/>
    <n v="66.5"/>
    <x v="751"/>
    <x v="35"/>
    <d v="2025-02-07T00:00:00"/>
    <x v="0"/>
    <x v="3"/>
    <x v="1"/>
    <x v="0"/>
    <x v="3"/>
    <x v="1"/>
    <x v="5"/>
    <x v="0"/>
  </r>
  <r>
    <x v="861"/>
    <x v="6"/>
    <x v="13"/>
    <n v="52.1"/>
    <x v="752"/>
    <x v="35"/>
    <d v="2025-02-07T00:00:00"/>
    <x v="1"/>
    <x v="1"/>
    <x v="1"/>
    <x v="0"/>
    <x v="16"/>
    <x v="1"/>
    <x v="5"/>
    <x v="1"/>
  </r>
  <r>
    <x v="862"/>
    <x v="8"/>
    <x v="1"/>
    <n v="19"/>
    <x v="753"/>
    <x v="35"/>
    <d v="2025-02-06T00:00:00"/>
    <x v="1"/>
    <x v="4"/>
    <x v="2"/>
    <x v="0"/>
    <x v="6"/>
    <x v="3"/>
    <x v="5"/>
    <x v="1"/>
  </r>
  <r>
    <x v="863"/>
    <x v="7"/>
    <x v="2"/>
    <n v="84.8"/>
    <x v="754"/>
    <x v="35"/>
    <d v="2025-02-07T00:00:00"/>
    <x v="2"/>
    <x v="2"/>
    <x v="0"/>
    <x v="0"/>
    <x v="8"/>
    <x v="1"/>
    <x v="5"/>
    <x v="2"/>
  </r>
  <r>
    <x v="864"/>
    <x v="2"/>
    <x v="12"/>
    <n v="63.9"/>
    <x v="755"/>
    <x v="35"/>
    <d v="2025-02-08T00:00:00"/>
    <x v="2"/>
    <x v="0"/>
    <x v="0"/>
    <x v="0"/>
    <x v="8"/>
    <x v="2"/>
    <x v="5"/>
    <x v="2"/>
  </r>
  <r>
    <x v="865"/>
    <x v="2"/>
    <x v="2"/>
    <n v="65.5"/>
    <x v="756"/>
    <x v="35"/>
    <d v="2025-02-05T00:00:00"/>
    <x v="2"/>
    <x v="1"/>
    <x v="1"/>
    <x v="0"/>
    <x v="8"/>
    <x v="7"/>
    <x v="5"/>
    <x v="2"/>
  </r>
  <r>
    <x v="866"/>
    <x v="12"/>
    <x v="1"/>
    <n v="116.2"/>
    <x v="757"/>
    <x v="35"/>
    <d v="2025-02-11T00:00:00"/>
    <x v="1"/>
    <x v="3"/>
    <x v="0"/>
    <x v="0"/>
    <x v="17"/>
    <x v="4"/>
    <x v="5"/>
    <x v="1"/>
  </r>
  <r>
    <x v="867"/>
    <x v="10"/>
    <x v="12"/>
    <n v="22.9"/>
    <x v="758"/>
    <x v="35"/>
    <d v="2025-02-07T00:00:00"/>
    <x v="2"/>
    <x v="2"/>
    <x v="1"/>
    <x v="0"/>
    <x v="38"/>
    <x v="1"/>
    <x v="5"/>
    <x v="2"/>
  </r>
  <r>
    <x v="868"/>
    <x v="10"/>
    <x v="2"/>
    <n v="53.7"/>
    <x v="759"/>
    <x v="35"/>
    <d v="2025-02-06T00:00:00"/>
    <x v="1"/>
    <x v="0"/>
    <x v="4"/>
    <x v="0"/>
    <x v="18"/>
    <x v="3"/>
    <x v="5"/>
    <x v="1"/>
  </r>
  <r>
    <x v="869"/>
    <x v="6"/>
    <x v="9"/>
    <n v="43.2"/>
    <x v="760"/>
    <x v="35"/>
    <d v="2025-02-07T00:00:00"/>
    <x v="2"/>
    <x v="0"/>
    <x v="0"/>
    <x v="0"/>
    <x v="19"/>
    <x v="1"/>
    <x v="5"/>
    <x v="2"/>
  </r>
  <r>
    <x v="870"/>
    <x v="1"/>
    <x v="2"/>
    <n v="84.5"/>
    <x v="103"/>
    <x v="35"/>
    <d v="2025-02-07T00:00:00"/>
    <x v="1"/>
    <x v="2"/>
    <x v="2"/>
    <x v="0"/>
    <x v="51"/>
    <x v="1"/>
    <x v="5"/>
    <x v="1"/>
  </r>
  <r>
    <x v="871"/>
    <x v="3"/>
    <x v="1"/>
    <n v="42.2"/>
    <x v="533"/>
    <x v="35"/>
    <d v="2025-02-06T00:00:00"/>
    <x v="2"/>
    <x v="1"/>
    <x v="2"/>
    <x v="0"/>
    <x v="1"/>
    <x v="3"/>
    <x v="5"/>
    <x v="2"/>
  </r>
  <r>
    <x v="872"/>
    <x v="2"/>
    <x v="13"/>
    <n v="94.7"/>
    <x v="761"/>
    <x v="35"/>
    <d v="2025-02-08T00:00:00"/>
    <x v="2"/>
    <x v="1"/>
    <x v="2"/>
    <x v="0"/>
    <x v="2"/>
    <x v="2"/>
    <x v="5"/>
    <x v="2"/>
  </r>
  <r>
    <x v="873"/>
    <x v="8"/>
    <x v="16"/>
    <n v="16.7"/>
    <x v="182"/>
    <x v="35"/>
    <d v="2025-02-17T00:00:00"/>
    <x v="2"/>
    <x v="0"/>
    <x v="2"/>
    <x v="0"/>
    <x v="2"/>
    <x v="13"/>
    <x v="5"/>
    <x v="2"/>
  </r>
  <r>
    <x v="874"/>
    <x v="2"/>
    <x v="1"/>
    <n v="83.6"/>
    <x v="762"/>
    <x v="35"/>
    <d v="2025-02-11T00:00:00"/>
    <x v="2"/>
    <x v="1"/>
    <x v="0"/>
    <x v="0"/>
    <x v="3"/>
    <x v="4"/>
    <x v="5"/>
    <x v="2"/>
  </r>
  <r>
    <x v="875"/>
    <x v="7"/>
    <x v="13"/>
    <n v="33.6"/>
    <x v="763"/>
    <x v="36"/>
    <d v="2025-02-07T00:00:00"/>
    <x v="2"/>
    <x v="3"/>
    <x v="0"/>
    <x v="0"/>
    <x v="3"/>
    <x v="3"/>
    <x v="5"/>
    <x v="2"/>
  </r>
  <r>
    <x v="876"/>
    <x v="7"/>
    <x v="1"/>
    <n v="64.7"/>
    <x v="385"/>
    <x v="36"/>
    <d v="2025-02-08T00:00:00"/>
    <x v="1"/>
    <x v="1"/>
    <x v="2"/>
    <x v="0"/>
    <x v="3"/>
    <x v="1"/>
    <x v="5"/>
    <x v="1"/>
  </r>
  <r>
    <x v="877"/>
    <x v="0"/>
    <x v="2"/>
    <n v="15.7"/>
    <x v="179"/>
    <x v="36"/>
    <d v="2025-02-12T00:00:00"/>
    <x v="2"/>
    <x v="0"/>
    <x v="0"/>
    <x v="0"/>
    <x v="3"/>
    <x v="4"/>
    <x v="5"/>
    <x v="2"/>
  </r>
  <r>
    <x v="878"/>
    <x v="15"/>
    <x v="13"/>
    <n v="49.4"/>
    <x v="764"/>
    <x v="36"/>
    <d v="2025-02-06T00:00:00"/>
    <x v="1"/>
    <x v="1"/>
    <x v="0"/>
    <x v="0"/>
    <x v="3"/>
    <x v="7"/>
    <x v="5"/>
    <x v="1"/>
  </r>
  <r>
    <x v="879"/>
    <x v="10"/>
    <x v="13"/>
    <n v="37"/>
    <x v="765"/>
    <x v="36"/>
    <d v="2025-02-09T00:00:00"/>
    <x v="2"/>
    <x v="1"/>
    <x v="2"/>
    <x v="0"/>
    <x v="3"/>
    <x v="2"/>
    <x v="5"/>
    <x v="2"/>
  </r>
  <r>
    <x v="880"/>
    <x v="2"/>
    <x v="1"/>
    <n v="83.7"/>
    <x v="589"/>
    <x v="36"/>
    <d v="2025-02-08T00:00:00"/>
    <x v="2"/>
    <x v="3"/>
    <x v="2"/>
    <x v="0"/>
    <x v="3"/>
    <x v="1"/>
    <x v="5"/>
    <x v="2"/>
  </r>
  <r>
    <x v="881"/>
    <x v="1"/>
    <x v="9"/>
    <n v="35.1"/>
    <x v="766"/>
    <x v="36"/>
    <d v="2025-02-07T00:00:00"/>
    <x v="2"/>
    <x v="0"/>
    <x v="0"/>
    <x v="0"/>
    <x v="3"/>
    <x v="3"/>
    <x v="5"/>
    <x v="2"/>
  </r>
  <r>
    <x v="882"/>
    <x v="16"/>
    <x v="8"/>
    <n v="74"/>
    <x v="767"/>
    <x v="36"/>
    <d v="2025-02-07T00:00:00"/>
    <x v="2"/>
    <x v="4"/>
    <x v="0"/>
    <x v="0"/>
    <x v="37"/>
    <x v="3"/>
    <x v="5"/>
    <x v="2"/>
  </r>
  <r>
    <x v="883"/>
    <x v="6"/>
    <x v="25"/>
    <n v="55.5"/>
    <x v="768"/>
    <x v="36"/>
    <d v="2025-02-09T00:00:00"/>
    <x v="1"/>
    <x v="3"/>
    <x v="0"/>
    <x v="0"/>
    <x v="49"/>
    <x v="2"/>
    <x v="5"/>
    <x v="1"/>
  </r>
  <r>
    <x v="884"/>
    <x v="11"/>
    <x v="1"/>
    <n v="38.9"/>
    <x v="482"/>
    <x v="36"/>
    <d v="2025-02-08T00:00:00"/>
    <x v="2"/>
    <x v="1"/>
    <x v="2"/>
    <x v="0"/>
    <x v="25"/>
    <x v="1"/>
    <x v="5"/>
    <x v="2"/>
  </r>
  <r>
    <x v="885"/>
    <x v="16"/>
    <x v="1"/>
    <n v="64.599999999999994"/>
    <x v="769"/>
    <x v="36"/>
    <d v="2025-02-13T00:00:00"/>
    <x v="1"/>
    <x v="2"/>
    <x v="1"/>
    <x v="0"/>
    <x v="25"/>
    <x v="6"/>
    <x v="5"/>
    <x v="1"/>
  </r>
  <r>
    <x v="886"/>
    <x v="2"/>
    <x v="2"/>
    <n v="95.3"/>
    <x v="770"/>
    <x v="36"/>
    <d v="2025-02-07T00:00:00"/>
    <x v="1"/>
    <x v="0"/>
    <x v="0"/>
    <x v="0"/>
    <x v="5"/>
    <x v="3"/>
    <x v="5"/>
    <x v="1"/>
  </r>
  <r>
    <x v="887"/>
    <x v="13"/>
    <x v="2"/>
    <n v="25.8"/>
    <x v="771"/>
    <x v="36"/>
    <d v="2025-02-07T00:00:00"/>
    <x v="2"/>
    <x v="1"/>
    <x v="1"/>
    <x v="0"/>
    <x v="6"/>
    <x v="3"/>
    <x v="5"/>
    <x v="2"/>
  </r>
  <r>
    <x v="888"/>
    <x v="0"/>
    <x v="1"/>
    <n v="11.6"/>
    <x v="772"/>
    <x v="36"/>
    <d v="2025-02-10T00:00:00"/>
    <x v="2"/>
    <x v="1"/>
    <x v="1"/>
    <x v="0"/>
    <x v="6"/>
    <x v="5"/>
    <x v="5"/>
    <x v="2"/>
  </r>
  <r>
    <x v="889"/>
    <x v="7"/>
    <x v="0"/>
    <n v="52.3"/>
    <x v="773"/>
    <x v="36"/>
    <d v="2025-02-07T00:00:00"/>
    <x v="2"/>
    <x v="1"/>
    <x v="0"/>
    <x v="0"/>
    <x v="8"/>
    <x v="3"/>
    <x v="5"/>
    <x v="2"/>
  </r>
  <r>
    <x v="890"/>
    <x v="2"/>
    <x v="7"/>
    <n v="112.2"/>
    <x v="774"/>
    <x v="36"/>
    <d v="2025-02-07T00:00:00"/>
    <x v="2"/>
    <x v="1"/>
    <x v="1"/>
    <x v="0"/>
    <x v="8"/>
    <x v="3"/>
    <x v="5"/>
    <x v="2"/>
  </r>
  <r>
    <x v="891"/>
    <x v="4"/>
    <x v="9"/>
    <n v="34.6"/>
    <x v="775"/>
    <x v="36"/>
    <d v="2025-02-08T00:00:00"/>
    <x v="1"/>
    <x v="2"/>
    <x v="0"/>
    <x v="0"/>
    <x v="8"/>
    <x v="1"/>
    <x v="5"/>
    <x v="1"/>
  </r>
  <r>
    <x v="892"/>
    <x v="14"/>
    <x v="12"/>
    <n v="20.100000000000001"/>
    <x v="48"/>
    <x v="36"/>
    <d v="2025-02-12T00:00:00"/>
    <x v="1"/>
    <x v="1"/>
    <x v="2"/>
    <x v="0"/>
    <x v="8"/>
    <x v="4"/>
    <x v="5"/>
    <x v="1"/>
  </r>
  <r>
    <x v="893"/>
    <x v="2"/>
    <x v="12"/>
    <n v="56.4"/>
    <x v="776"/>
    <x v="36"/>
    <d v="2025-02-08T00:00:00"/>
    <x v="2"/>
    <x v="2"/>
    <x v="0"/>
    <x v="0"/>
    <x v="10"/>
    <x v="1"/>
    <x v="5"/>
    <x v="2"/>
  </r>
  <r>
    <x v="894"/>
    <x v="13"/>
    <x v="11"/>
    <n v="55.3"/>
    <x v="777"/>
    <x v="36"/>
    <d v="2025-02-08T00:00:00"/>
    <x v="2"/>
    <x v="1"/>
    <x v="4"/>
    <x v="0"/>
    <x v="11"/>
    <x v="1"/>
    <x v="5"/>
    <x v="2"/>
  </r>
  <r>
    <x v="895"/>
    <x v="2"/>
    <x v="31"/>
    <n v="75.5"/>
    <x v="778"/>
    <x v="36"/>
    <d v="2025-02-07T00:00:00"/>
    <x v="2"/>
    <x v="0"/>
    <x v="0"/>
    <x v="0"/>
    <x v="11"/>
    <x v="3"/>
    <x v="5"/>
    <x v="2"/>
  </r>
  <r>
    <x v="896"/>
    <x v="8"/>
    <x v="0"/>
    <n v="23.6"/>
    <x v="779"/>
    <x v="36"/>
    <d v="2025-02-11T00:00:00"/>
    <x v="2"/>
    <x v="0"/>
    <x v="0"/>
    <x v="0"/>
    <x v="19"/>
    <x v="0"/>
    <x v="5"/>
    <x v="2"/>
  </r>
  <r>
    <x v="897"/>
    <x v="9"/>
    <x v="1"/>
    <n v="70.7"/>
    <x v="780"/>
    <x v="36"/>
    <d v="2025-02-08T00:00:00"/>
    <x v="2"/>
    <x v="2"/>
    <x v="0"/>
    <x v="0"/>
    <x v="19"/>
    <x v="1"/>
    <x v="5"/>
    <x v="2"/>
  </r>
  <r>
    <x v="898"/>
    <x v="12"/>
    <x v="1"/>
    <n v="43.2"/>
    <x v="781"/>
    <x v="36"/>
    <d v="2025-02-07T00:00:00"/>
    <x v="2"/>
    <x v="2"/>
    <x v="0"/>
    <x v="0"/>
    <x v="31"/>
    <x v="3"/>
    <x v="5"/>
    <x v="2"/>
  </r>
  <r>
    <x v="899"/>
    <x v="9"/>
    <x v="11"/>
    <n v="70"/>
    <x v="782"/>
    <x v="36"/>
    <d v="2025-02-07T00:00:00"/>
    <x v="0"/>
    <x v="1"/>
    <x v="0"/>
    <x v="0"/>
    <x v="52"/>
    <x v="3"/>
    <x v="5"/>
    <x v="0"/>
  </r>
  <r>
    <x v="900"/>
    <x v="0"/>
    <x v="1"/>
    <n v="20.5"/>
    <x v="783"/>
    <x v="36"/>
    <d v="2025-02-08T00:00:00"/>
    <x v="2"/>
    <x v="2"/>
    <x v="4"/>
    <x v="0"/>
    <x v="13"/>
    <x v="1"/>
    <x v="5"/>
    <x v="2"/>
  </r>
  <r>
    <x v="901"/>
    <x v="0"/>
    <x v="12"/>
    <n v="29.1"/>
    <x v="565"/>
    <x v="36"/>
    <d v="2025-02-07T00:00:00"/>
    <x v="2"/>
    <x v="3"/>
    <x v="0"/>
    <x v="0"/>
    <x v="28"/>
    <x v="3"/>
    <x v="5"/>
    <x v="2"/>
  </r>
  <r>
    <x v="902"/>
    <x v="6"/>
    <x v="11"/>
    <n v="53.6"/>
    <x v="784"/>
    <x v="36"/>
    <d v="2025-02-07T00:00:00"/>
    <x v="1"/>
    <x v="2"/>
    <x v="1"/>
    <x v="0"/>
    <x v="3"/>
    <x v="3"/>
    <x v="5"/>
    <x v="1"/>
  </r>
  <r>
    <x v="903"/>
    <x v="6"/>
    <x v="9"/>
    <n v="72.3"/>
    <x v="785"/>
    <x v="36"/>
    <d v="2025-02-08T00:00:00"/>
    <x v="2"/>
    <x v="1"/>
    <x v="0"/>
    <x v="0"/>
    <x v="3"/>
    <x v="1"/>
    <x v="5"/>
    <x v="2"/>
  </r>
  <r>
    <x v="904"/>
    <x v="13"/>
    <x v="12"/>
    <n v="22.6"/>
    <x v="786"/>
    <x v="36"/>
    <d v="2025-02-09T00:00:00"/>
    <x v="3"/>
    <x v="0"/>
    <x v="1"/>
    <x v="0"/>
    <x v="3"/>
    <x v="2"/>
    <x v="5"/>
    <x v="3"/>
  </r>
  <r>
    <x v="905"/>
    <x v="9"/>
    <x v="1"/>
    <n v="44.2"/>
    <x v="787"/>
    <x v="36"/>
    <d v="2025-02-10T00:00:00"/>
    <x v="0"/>
    <x v="2"/>
    <x v="4"/>
    <x v="0"/>
    <x v="3"/>
    <x v="5"/>
    <x v="5"/>
    <x v="0"/>
  </r>
  <r>
    <x v="906"/>
    <x v="9"/>
    <x v="2"/>
    <n v="94.1"/>
    <x v="788"/>
    <x v="36"/>
    <d v="2025-02-19T00:00:00"/>
    <x v="2"/>
    <x v="2"/>
    <x v="2"/>
    <x v="0"/>
    <x v="3"/>
    <x v="10"/>
    <x v="5"/>
    <x v="2"/>
  </r>
  <r>
    <x v="907"/>
    <x v="8"/>
    <x v="2"/>
    <n v="17.899999999999999"/>
    <x v="789"/>
    <x v="36"/>
    <d v="2025-02-08T00:00:00"/>
    <x v="1"/>
    <x v="1"/>
    <x v="1"/>
    <x v="0"/>
    <x v="3"/>
    <x v="1"/>
    <x v="5"/>
    <x v="1"/>
  </r>
  <r>
    <x v="908"/>
    <x v="12"/>
    <x v="3"/>
    <n v="52.7"/>
    <x v="790"/>
    <x v="36"/>
    <d v="2025-02-07T00:00:00"/>
    <x v="1"/>
    <x v="1"/>
    <x v="1"/>
    <x v="0"/>
    <x v="3"/>
    <x v="3"/>
    <x v="5"/>
    <x v="1"/>
  </r>
  <r>
    <x v="909"/>
    <x v="8"/>
    <x v="0"/>
    <n v="36.799999999999997"/>
    <x v="791"/>
    <x v="36"/>
    <d v="2025-02-06T00:00:00"/>
    <x v="0"/>
    <x v="0"/>
    <x v="2"/>
    <x v="0"/>
    <x v="3"/>
    <x v="7"/>
    <x v="5"/>
    <x v="0"/>
  </r>
  <r>
    <x v="910"/>
    <x v="4"/>
    <x v="0"/>
    <n v="52.5"/>
    <x v="413"/>
    <x v="36"/>
    <d v="2025-02-07T00:00:00"/>
    <x v="1"/>
    <x v="0"/>
    <x v="1"/>
    <x v="0"/>
    <x v="6"/>
    <x v="3"/>
    <x v="5"/>
    <x v="1"/>
  </r>
  <r>
    <x v="911"/>
    <x v="2"/>
    <x v="1"/>
    <n v="133.80000000000001"/>
    <x v="792"/>
    <x v="36"/>
    <d v="2025-02-08T00:00:00"/>
    <x v="1"/>
    <x v="0"/>
    <x v="1"/>
    <x v="0"/>
    <x v="7"/>
    <x v="1"/>
    <x v="5"/>
    <x v="1"/>
  </r>
  <r>
    <x v="912"/>
    <x v="6"/>
    <x v="1"/>
    <n v="53.2"/>
    <x v="793"/>
    <x v="36"/>
    <d v="2025-02-08T00:00:00"/>
    <x v="1"/>
    <x v="0"/>
    <x v="0"/>
    <x v="0"/>
    <x v="17"/>
    <x v="1"/>
    <x v="5"/>
    <x v="1"/>
  </r>
  <r>
    <x v="913"/>
    <x v="14"/>
    <x v="13"/>
    <n v="18.7"/>
    <x v="794"/>
    <x v="36"/>
    <d v="2025-02-08T00:00:00"/>
    <x v="0"/>
    <x v="0"/>
    <x v="1"/>
    <x v="0"/>
    <x v="10"/>
    <x v="1"/>
    <x v="5"/>
    <x v="0"/>
  </r>
  <r>
    <x v="914"/>
    <x v="6"/>
    <x v="12"/>
    <n v="108.8"/>
    <x v="795"/>
    <x v="36"/>
    <d v="2025-02-07T00:00:00"/>
    <x v="2"/>
    <x v="3"/>
    <x v="2"/>
    <x v="0"/>
    <x v="11"/>
    <x v="3"/>
    <x v="5"/>
    <x v="2"/>
  </r>
  <r>
    <x v="915"/>
    <x v="15"/>
    <x v="9"/>
    <n v="38.5"/>
    <x v="796"/>
    <x v="36"/>
    <d v="2025-02-10T00:00:00"/>
    <x v="2"/>
    <x v="0"/>
    <x v="1"/>
    <x v="0"/>
    <x v="14"/>
    <x v="5"/>
    <x v="5"/>
    <x v="2"/>
  </r>
  <r>
    <x v="916"/>
    <x v="10"/>
    <x v="7"/>
    <n v="46.5"/>
    <x v="797"/>
    <x v="36"/>
    <d v="2025-02-08T00:00:00"/>
    <x v="1"/>
    <x v="2"/>
    <x v="1"/>
    <x v="0"/>
    <x v="2"/>
    <x v="1"/>
    <x v="5"/>
    <x v="1"/>
  </r>
  <r>
    <x v="917"/>
    <x v="2"/>
    <x v="2"/>
    <n v="75.8"/>
    <x v="129"/>
    <x v="36"/>
    <d v="2025-02-10T00:00:00"/>
    <x v="2"/>
    <x v="1"/>
    <x v="4"/>
    <x v="0"/>
    <x v="44"/>
    <x v="5"/>
    <x v="5"/>
    <x v="2"/>
  </r>
  <r>
    <x v="918"/>
    <x v="8"/>
    <x v="0"/>
    <n v="20.9"/>
    <x v="798"/>
    <x v="36"/>
    <d v="2025-02-10T00:00:00"/>
    <x v="1"/>
    <x v="0"/>
    <x v="0"/>
    <x v="0"/>
    <x v="22"/>
    <x v="5"/>
    <x v="5"/>
    <x v="1"/>
  </r>
  <r>
    <x v="919"/>
    <x v="18"/>
    <x v="2"/>
    <n v="47.4"/>
    <x v="60"/>
    <x v="36"/>
    <d v="2025-02-09T00:00:00"/>
    <x v="2"/>
    <x v="0"/>
    <x v="0"/>
    <x v="0"/>
    <x v="3"/>
    <x v="2"/>
    <x v="5"/>
    <x v="2"/>
  </r>
  <r>
    <x v="920"/>
    <x v="9"/>
    <x v="1"/>
    <n v="53.8"/>
    <x v="799"/>
    <x v="36"/>
    <d v="2025-02-07T00:00:00"/>
    <x v="0"/>
    <x v="0"/>
    <x v="1"/>
    <x v="0"/>
    <x v="3"/>
    <x v="3"/>
    <x v="5"/>
    <x v="0"/>
  </r>
  <r>
    <x v="921"/>
    <x v="8"/>
    <x v="2"/>
    <n v="24.6"/>
    <x v="800"/>
    <x v="36"/>
    <d v="2025-02-08T00:00:00"/>
    <x v="3"/>
    <x v="1"/>
    <x v="2"/>
    <x v="0"/>
    <x v="3"/>
    <x v="1"/>
    <x v="5"/>
    <x v="3"/>
  </r>
  <r>
    <x v="922"/>
    <x v="9"/>
    <x v="2"/>
    <n v="70.900000000000006"/>
    <x v="801"/>
    <x v="36"/>
    <d v="2025-02-11T00:00:00"/>
    <x v="2"/>
    <x v="2"/>
    <x v="2"/>
    <x v="0"/>
    <x v="3"/>
    <x v="0"/>
    <x v="5"/>
    <x v="2"/>
  </r>
  <r>
    <x v="923"/>
    <x v="17"/>
    <x v="2"/>
    <n v="31.9"/>
    <x v="802"/>
    <x v="36"/>
    <d v="2025-02-08T00:00:00"/>
    <x v="2"/>
    <x v="2"/>
    <x v="2"/>
    <x v="0"/>
    <x v="3"/>
    <x v="1"/>
    <x v="5"/>
    <x v="2"/>
  </r>
  <r>
    <x v="924"/>
    <x v="0"/>
    <x v="1"/>
    <n v="20.399999999999999"/>
    <x v="803"/>
    <x v="36"/>
    <d v="2025-02-10T00:00:00"/>
    <x v="1"/>
    <x v="3"/>
    <x v="2"/>
    <x v="0"/>
    <x v="3"/>
    <x v="5"/>
    <x v="5"/>
    <x v="1"/>
  </r>
  <r>
    <x v="925"/>
    <x v="8"/>
    <x v="1"/>
    <n v="18.600000000000001"/>
    <x v="804"/>
    <x v="36"/>
    <d v="2025-02-08T00:00:00"/>
    <x v="0"/>
    <x v="0"/>
    <x v="1"/>
    <x v="0"/>
    <x v="3"/>
    <x v="1"/>
    <x v="5"/>
    <x v="0"/>
  </r>
  <r>
    <x v="926"/>
    <x v="4"/>
    <x v="9"/>
    <n v="48.3"/>
    <x v="805"/>
    <x v="36"/>
    <d v="2025-02-08T00:00:00"/>
    <x v="2"/>
    <x v="1"/>
    <x v="0"/>
    <x v="0"/>
    <x v="3"/>
    <x v="1"/>
    <x v="5"/>
    <x v="2"/>
  </r>
  <r>
    <x v="927"/>
    <x v="0"/>
    <x v="12"/>
    <n v="27.7"/>
    <x v="806"/>
    <x v="36"/>
    <d v="2025-02-08T00:00:00"/>
    <x v="2"/>
    <x v="0"/>
    <x v="0"/>
    <x v="0"/>
    <x v="3"/>
    <x v="1"/>
    <x v="5"/>
    <x v="2"/>
  </r>
  <r>
    <x v="928"/>
    <x v="4"/>
    <x v="9"/>
    <n v="22.5"/>
    <x v="158"/>
    <x v="36"/>
    <d v="2025-02-08T00:00:00"/>
    <x v="2"/>
    <x v="4"/>
    <x v="2"/>
    <x v="0"/>
    <x v="3"/>
    <x v="1"/>
    <x v="5"/>
    <x v="2"/>
  </r>
  <r>
    <x v="929"/>
    <x v="17"/>
    <x v="9"/>
    <n v="21.6"/>
    <x v="807"/>
    <x v="36"/>
    <d v="2025-02-14T00:00:00"/>
    <x v="2"/>
    <x v="0"/>
    <x v="1"/>
    <x v="0"/>
    <x v="3"/>
    <x v="9"/>
    <x v="5"/>
    <x v="2"/>
  </r>
  <r>
    <x v="930"/>
    <x v="10"/>
    <x v="3"/>
    <n v="26.3"/>
    <x v="808"/>
    <x v="36"/>
    <d v="2025-02-06T00:00:00"/>
    <x v="2"/>
    <x v="2"/>
    <x v="1"/>
    <x v="0"/>
    <x v="3"/>
    <x v="7"/>
    <x v="5"/>
    <x v="2"/>
  </r>
  <r>
    <x v="931"/>
    <x v="6"/>
    <x v="3"/>
    <n v="103"/>
    <x v="809"/>
    <x v="37"/>
    <d v="2025-02-08T00:00:00"/>
    <x v="1"/>
    <x v="0"/>
    <x v="2"/>
    <x v="0"/>
    <x v="6"/>
    <x v="3"/>
    <x v="5"/>
    <x v="1"/>
  </r>
  <r>
    <x v="932"/>
    <x v="5"/>
    <x v="20"/>
    <n v="46.6"/>
    <x v="810"/>
    <x v="37"/>
    <d v="2025-02-08T00:00:00"/>
    <x v="2"/>
    <x v="0"/>
    <x v="1"/>
    <x v="0"/>
    <x v="6"/>
    <x v="3"/>
    <x v="5"/>
    <x v="2"/>
  </r>
  <r>
    <x v="933"/>
    <x v="0"/>
    <x v="9"/>
    <n v="32.200000000000003"/>
    <x v="811"/>
    <x v="37"/>
    <d v="2025-02-10T00:00:00"/>
    <x v="2"/>
    <x v="0"/>
    <x v="2"/>
    <x v="0"/>
    <x v="36"/>
    <x v="2"/>
    <x v="5"/>
    <x v="2"/>
  </r>
  <r>
    <x v="934"/>
    <x v="8"/>
    <x v="2"/>
    <n v="22"/>
    <x v="812"/>
    <x v="37"/>
    <d v="2025-02-14T00:00:00"/>
    <x v="1"/>
    <x v="1"/>
    <x v="0"/>
    <x v="0"/>
    <x v="7"/>
    <x v="6"/>
    <x v="5"/>
    <x v="1"/>
  </r>
  <r>
    <x v="935"/>
    <x v="0"/>
    <x v="1"/>
    <n v="25.2"/>
    <x v="813"/>
    <x v="37"/>
    <d v="2025-02-11T00:00:00"/>
    <x v="2"/>
    <x v="0"/>
    <x v="0"/>
    <x v="0"/>
    <x v="7"/>
    <x v="5"/>
    <x v="5"/>
    <x v="2"/>
  </r>
  <r>
    <x v="936"/>
    <x v="1"/>
    <x v="13"/>
    <n v="68.7"/>
    <x v="814"/>
    <x v="37"/>
    <d v="2025-02-09T00:00:00"/>
    <x v="1"/>
    <x v="4"/>
    <x v="0"/>
    <x v="0"/>
    <x v="8"/>
    <x v="1"/>
    <x v="5"/>
    <x v="1"/>
  </r>
  <r>
    <x v="937"/>
    <x v="0"/>
    <x v="2"/>
    <n v="22.2"/>
    <x v="815"/>
    <x v="37"/>
    <d v="2025-02-10T00:00:00"/>
    <x v="1"/>
    <x v="2"/>
    <x v="2"/>
    <x v="0"/>
    <x v="8"/>
    <x v="2"/>
    <x v="5"/>
    <x v="1"/>
  </r>
  <r>
    <x v="938"/>
    <x v="1"/>
    <x v="3"/>
    <n v="36"/>
    <x v="816"/>
    <x v="37"/>
    <d v="2025-02-08T00:00:00"/>
    <x v="2"/>
    <x v="1"/>
    <x v="0"/>
    <x v="0"/>
    <x v="8"/>
    <x v="3"/>
    <x v="5"/>
    <x v="2"/>
  </r>
  <r>
    <x v="939"/>
    <x v="18"/>
    <x v="0"/>
    <n v="50.6"/>
    <x v="578"/>
    <x v="37"/>
    <d v="2025-02-09T00:00:00"/>
    <x v="2"/>
    <x v="0"/>
    <x v="1"/>
    <x v="0"/>
    <x v="8"/>
    <x v="1"/>
    <x v="5"/>
    <x v="2"/>
  </r>
  <r>
    <x v="940"/>
    <x v="15"/>
    <x v="1"/>
    <n v="44.9"/>
    <x v="817"/>
    <x v="37"/>
    <d v="2025-02-09T00:00:00"/>
    <x v="1"/>
    <x v="0"/>
    <x v="1"/>
    <x v="0"/>
    <x v="8"/>
    <x v="1"/>
    <x v="5"/>
    <x v="1"/>
  </r>
  <r>
    <x v="941"/>
    <x v="6"/>
    <x v="2"/>
    <n v="71.599999999999994"/>
    <x v="818"/>
    <x v="37"/>
    <d v="2025-02-11T00:00:00"/>
    <x v="1"/>
    <x v="1"/>
    <x v="2"/>
    <x v="0"/>
    <x v="10"/>
    <x v="5"/>
    <x v="5"/>
    <x v="1"/>
  </r>
  <r>
    <x v="942"/>
    <x v="6"/>
    <x v="13"/>
    <n v="51.5"/>
    <x v="15"/>
    <x v="37"/>
    <d v="2025-02-09T00:00:00"/>
    <x v="0"/>
    <x v="4"/>
    <x v="0"/>
    <x v="0"/>
    <x v="11"/>
    <x v="1"/>
    <x v="5"/>
    <x v="0"/>
  </r>
  <r>
    <x v="943"/>
    <x v="7"/>
    <x v="9"/>
    <n v="55.5"/>
    <x v="819"/>
    <x v="37"/>
    <d v="2025-02-08T00:00:00"/>
    <x v="1"/>
    <x v="1"/>
    <x v="1"/>
    <x v="0"/>
    <x v="11"/>
    <x v="3"/>
    <x v="5"/>
    <x v="1"/>
  </r>
  <r>
    <x v="944"/>
    <x v="6"/>
    <x v="0"/>
    <n v="51.7"/>
    <x v="733"/>
    <x v="37"/>
    <d v="2025-02-21T00:00:00"/>
    <x v="1"/>
    <x v="2"/>
    <x v="0"/>
    <x v="0"/>
    <x v="19"/>
    <x v="12"/>
    <x v="5"/>
    <x v="1"/>
  </r>
  <r>
    <x v="945"/>
    <x v="8"/>
    <x v="38"/>
    <n v="45.5"/>
    <x v="820"/>
    <x v="37"/>
    <d v="2025-02-08T00:00:00"/>
    <x v="2"/>
    <x v="3"/>
    <x v="2"/>
    <x v="0"/>
    <x v="19"/>
    <x v="3"/>
    <x v="5"/>
    <x v="2"/>
  </r>
  <r>
    <x v="946"/>
    <x v="8"/>
    <x v="1"/>
    <n v="33.799999999999997"/>
    <x v="821"/>
    <x v="37"/>
    <d v="2025-02-13T00:00:00"/>
    <x v="2"/>
    <x v="3"/>
    <x v="0"/>
    <x v="0"/>
    <x v="20"/>
    <x v="4"/>
    <x v="5"/>
    <x v="2"/>
  </r>
  <r>
    <x v="947"/>
    <x v="3"/>
    <x v="2"/>
    <n v="76.5"/>
    <x v="822"/>
    <x v="37"/>
    <d v="2025-02-08T00:00:00"/>
    <x v="2"/>
    <x v="0"/>
    <x v="1"/>
    <x v="0"/>
    <x v="21"/>
    <x v="3"/>
    <x v="5"/>
    <x v="2"/>
  </r>
  <r>
    <x v="948"/>
    <x v="9"/>
    <x v="2"/>
    <n v="42.6"/>
    <x v="823"/>
    <x v="37"/>
    <d v="2025-02-13T00:00:00"/>
    <x v="2"/>
    <x v="2"/>
    <x v="2"/>
    <x v="0"/>
    <x v="2"/>
    <x v="4"/>
    <x v="5"/>
    <x v="2"/>
  </r>
  <r>
    <x v="949"/>
    <x v="6"/>
    <x v="2"/>
    <n v="44.1"/>
    <x v="431"/>
    <x v="37"/>
    <d v="2025-02-09T00:00:00"/>
    <x v="2"/>
    <x v="1"/>
    <x v="1"/>
    <x v="0"/>
    <x v="22"/>
    <x v="1"/>
    <x v="5"/>
    <x v="2"/>
  </r>
  <r>
    <x v="950"/>
    <x v="8"/>
    <x v="1"/>
    <n v="40.9"/>
    <x v="673"/>
    <x v="37"/>
    <d v="2025-02-11T00:00:00"/>
    <x v="1"/>
    <x v="0"/>
    <x v="0"/>
    <x v="0"/>
    <x v="3"/>
    <x v="5"/>
    <x v="5"/>
    <x v="1"/>
  </r>
  <r>
    <x v="951"/>
    <x v="9"/>
    <x v="2"/>
    <n v="49.1"/>
    <x v="824"/>
    <x v="37"/>
    <d v="2025-02-11T00:00:00"/>
    <x v="2"/>
    <x v="3"/>
    <x v="1"/>
    <x v="0"/>
    <x v="3"/>
    <x v="5"/>
    <x v="5"/>
    <x v="2"/>
  </r>
  <r>
    <x v="952"/>
    <x v="18"/>
    <x v="0"/>
    <n v="85.3"/>
    <x v="825"/>
    <x v="37"/>
    <d v="2025-02-11T00:00:00"/>
    <x v="1"/>
    <x v="1"/>
    <x v="1"/>
    <x v="0"/>
    <x v="3"/>
    <x v="5"/>
    <x v="5"/>
    <x v="1"/>
  </r>
  <r>
    <x v="953"/>
    <x v="6"/>
    <x v="12"/>
    <n v="43.1"/>
    <x v="826"/>
    <x v="38"/>
    <d v="2025-02-11T00:00:00"/>
    <x v="1"/>
    <x v="0"/>
    <x v="0"/>
    <x v="0"/>
    <x v="3"/>
    <x v="2"/>
    <x v="5"/>
    <x v="1"/>
  </r>
  <r>
    <x v="954"/>
    <x v="4"/>
    <x v="12"/>
    <n v="46.2"/>
    <x v="827"/>
    <x v="38"/>
    <d v="2025-02-09T00:00:00"/>
    <x v="1"/>
    <x v="2"/>
    <x v="0"/>
    <x v="0"/>
    <x v="3"/>
    <x v="3"/>
    <x v="5"/>
    <x v="1"/>
  </r>
  <r>
    <x v="955"/>
    <x v="1"/>
    <x v="0"/>
    <n v="74.400000000000006"/>
    <x v="610"/>
    <x v="38"/>
    <d v="2025-02-10T00:00:00"/>
    <x v="1"/>
    <x v="4"/>
    <x v="2"/>
    <x v="0"/>
    <x v="3"/>
    <x v="1"/>
    <x v="5"/>
    <x v="1"/>
  </r>
  <r>
    <x v="956"/>
    <x v="17"/>
    <x v="1"/>
    <n v="51.2"/>
    <x v="298"/>
    <x v="38"/>
    <d v="2025-02-09T00:00:00"/>
    <x v="1"/>
    <x v="1"/>
    <x v="0"/>
    <x v="0"/>
    <x v="3"/>
    <x v="3"/>
    <x v="5"/>
    <x v="1"/>
  </r>
  <r>
    <x v="957"/>
    <x v="14"/>
    <x v="12"/>
    <n v="11.8"/>
    <x v="828"/>
    <x v="38"/>
    <d v="2025-02-08T00:00:00"/>
    <x v="1"/>
    <x v="2"/>
    <x v="0"/>
    <x v="0"/>
    <x v="3"/>
    <x v="7"/>
    <x v="5"/>
    <x v="1"/>
  </r>
  <r>
    <x v="958"/>
    <x v="10"/>
    <x v="6"/>
    <n v="40.799999999999997"/>
    <x v="829"/>
    <x v="38"/>
    <d v="2025-02-09T00:00:00"/>
    <x v="2"/>
    <x v="3"/>
    <x v="2"/>
    <x v="0"/>
    <x v="3"/>
    <x v="3"/>
    <x v="5"/>
    <x v="2"/>
  </r>
  <r>
    <x v="959"/>
    <x v="8"/>
    <x v="0"/>
    <n v="24.7"/>
    <x v="830"/>
    <x v="38"/>
    <d v="2025-02-10T00:00:00"/>
    <x v="2"/>
    <x v="2"/>
    <x v="1"/>
    <x v="0"/>
    <x v="3"/>
    <x v="1"/>
    <x v="5"/>
    <x v="2"/>
  </r>
  <r>
    <x v="960"/>
    <x v="8"/>
    <x v="3"/>
    <n v="22.1"/>
    <x v="831"/>
    <x v="38"/>
    <d v="2025-02-08T00:00:00"/>
    <x v="2"/>
    <x v="2"/>
    <x v="4"/>
    <x v="0"/>
    <x v="3"/>
    <x v="7"/>
    <x v="5"/>
    <x v="2"/>
  </r>
  <r>
    <x v="961"/>
    <x v="8"/>
    <x v="0"/>
    <n v="18.100000000000001"/>
    <x v="832"/>
    <x v="38"/>
    <d v="2025-02-12T00:00:00"/>
    <x v="1"/>
    <x v="3"/>
    <x v="2"/>
    <x v="0"/>
    <x v="3"/>
    <x v="5"/>
    <x v="5"/>
    <x v="1"/>
  </r>
  <r>
    <x v="962"/>
    <x v="17"/>
    <x v="1"/>
    <n v="58.8"/>
    <x v="833"/>
    <x v="38"/>
    <d v="2025-02-11T00:00:00"/>
    <x v="2"/>
    <x v="0"/>
    <x v="0"/>
    <x v="0"/>
    <x v="25"/>
    <x v="2"/>
    <x v="5"/>
    <x v="2"/>
  </r>
  <r>
    <x v="963"/>
    <x v="18"/>
    <x v="1"/>
    <n v="30.8"/>
    <x v="834"/>
    <x v="38"/>
    <d v="2025-02-09T00:00:00"/>
    <x v="2"/>
    <x v="0"/>
    <x v="0"/>
    <x v="0"/>
    <x v="6"/>
    <x v="3"/>
    <x v="5"/>
    <x v="2"/>
  </r>
  <r>
    <x v="964"/>
    <x v="0"/>
    <x v="1"/>
    <n v="12"/>
    <x v="835"/>
    <x v="38"/>
    <d v="2025-02-12T00:00:00"/>
    <x v="2"/>
    <x v="0"/>
    <x v="0"/>
    <x v="0"/>
    <x v="6"/>
    <x v="5"/>
    <x v="5"/>
    <x v="2"/>
  </r>
  <r>
    <x v="965"/>
    <x v="0"/>
    <x v="12"/>
    <n v="13.6"/>
    <x v="630"/>
    <x v="38"/>
    <d v="2025-02-11T00:00:00"/>
    <x v="1"/>
    <x v="2"/>
    <x v="0"/>
    <x v="0"/>
    <x v="6"/>
    <x v="2"/>
    <x v="5"/>
    <x v="1"/>
  </r>
  <r>
    <x v="966"/>
    <x v="0"/>
    <x v="0"/>
    <n v="17.899999999999999"/>
    <x v="836"/>
    <x v="38"/>
    <d v="2025-02-09T00:00:00"/>
    <x v="1"/>
    <x v="3"/>
    <x v="0"/>
    <x v="0"/>
    <x v="6"/>
    <x v="3"/>
    <x v="5"/>
    <x v="1"/>
  </r>
  <r>
    <x v="967"/>
    <x v="9"/>
    <x v="1"/>
    <n v="38.6"/>
    <x v="837"/>
    <x v="38"/>
    <d v="2025-02-12T00:00:00"/>
    <x v="2"/>
    <x v="4"/>
    <x v="0"/>
    <x v="0"/>
    <x v="7"/>
    <x v="5"/>
    <x v="5"/>
    <x v="2"/>
  </r>
  <r>
    <x v="968"/>
    <x v="5"/>
    <x v="9"/>
    <n v="32.700000000000003"/>
    <x v="838"/>
    <x v="38"/>
    <d v="2025-02-09T00:00:00"/>
    <x v="1"/>
    <x v="2"/>
    <x v="2"/>
    <x v="0"/>
    <x v="8"/>
    <x v="3"/>
    <x v="5"/>
    <x v="1"/>
  </r>
  <r>
    <x v="969"/>
    <x v="3"/>
    <x v="1"/>
    <n v="111.4"/>
    <x v="839"/>
    <x v="38"/>
    <d v="2025-02-09T00:00:00"/>
    <x v="2"/>
    <x v="1"/>
    <x v="0"/>
    <x v="0"/>
    <x v="8"/>
    <x v="3"/>
    <x v="5"/>
    <x v="2"/>
  </r>
  <r>
    <x v="970"/>
    <x v="2"/>
    <x v="13"/>
    <n v="80.3"/>
    <x v="840"/>
    <x v="38"/>
    <d v="2025-02-10T00:00:00"/>
    <x v="2"/>
    <x v="1"/>
    <x v="0"/>
    <x v="0"/>
    <x v="8"/>
    <x v="1"/>
    <x v="5"/>
    <x v="2"/>
  </r>
  <r>
    <x v="971"/>
    <x v="6"/>
    <x v="1"/>
    <n v="58.9"/>
    <x v="841"/>
    <x v="38"/>
    <d v="2025-02-09T00:00:00"/>
    <x v="1"/>
    <x v="1"/>
    <x v="0"/>
    <x v="0"/>
    <x v="8"/>
    <x v="3"/>
    <x v="5"/>
    <x v="1"/>
  </r>
  <r>
    <x v="972"/>
    <x v="6"/>
    <x v="2"/>
    <n v="51.9"/>
    <x v="515"/>
    <x v="38"/>
    <d v="2025-02-10T00:00:00"/>
    <x v="2"/>
    <x v="1"/>
    <x v="4"/>
    <x v="0"/>
    <x v="8"/>
    <x v="1"/>
    <x v="5"/>
    <x v="2"/>
  </r>
  <r>
    <x v="973"/>
    <x v="2"/>
    <x v="2"/>
    <n v="50.3"/>
    <x v="842"/>
    <x v="38"/>
    <d v="2025-02-09T00:00:00"/>
    <x v="1"/>
    <x v="2"/>
    <x v="0"/>
    <x v="0"/>
    <x v="17"/>
    <x v="3"/>
    <x v="5"/>
    <x v="1"/>
  </r>
  <r>
    <x v="974"/>
    <x v="11"/>
    <x v="13"/>
    <n v="45"/>
    <x v="843"/>
    <x v="38"/>
    <d v="2025-02-14T00:00:00"/>
    <x v="2"/>
    <x v="3"/>
    <x v="0"/>
    <x v="0"/>
    <x v="9"/>
    <x v="4"/>
    <x v="5"/>
    <x v="2"/>
  </r>
  <r>
    <x v="975"/>
    <x v="10"/>
    <x v="13"/>
    <n v="44.7"/>
    <x v="844"/>
    <x v="38"/>
    <d v="2025-02-10T00:00:00"/>
    <x v="2"/>
    <x v="2"/>
    <x v="0"/>
    <x v="0"/>
    <x v="11"/>
    <x v="1"/>
    <x v="5"/>
    <x v="2"/>
  </r>
  <r>
    <x v="976"/>
    <x v="18"/>
    <x v="20"/>
    <n v="33"/>
    <x v="845"/>
    <x v="38"/>
    <d v="2025-02-09T00:00:00"/>
    <x v="2"/>
    <x v="2"/>
    <x v="0"/>
    <x v="0"/>
    <x v="11"/>
    <x v="3"/>
    <x v="5"/>
    <x v="2"/>
  </r>
  <r>
    <x v="977"/>
    <x v="1"/>
    <x v="9"/>
    <n v="44.9"/>
    <x v="846"/>
    <x v="38"/>
    <d v="2025-02-11T00:00:00"/>
    <x v="2"/>
    <x v="2"/>
    <x v="2"/>
    <x v="0"/>
    <x v="18"/>
    <x v="2"/>
    <x v="5"/>
    <x v="2"/>
  </r>
  <r>
    <x v="978"/>
    <x v="10"/>
    <x v="1"/>
    <n v="34.6"/>
    <x v="564"/>
    <x v="38"/>
    <d v="2025-02-12T00:00:00"/>
    <x v="2"/>
    <x v="0"/>
    <x v="1"/>
    <x v="0"/>
    <x v="19"/>
    <x v="5"/>
    <x v="5"/>
    <x v="2"/>
  </r>
  <r>
    <x v="979"/>
    <x v="7"/>
    <x v="3"/>
    <n v="47.1"/>
    <x v="847"/>
    <x v="38"/>
    <d v="2025-02-13T00:00:00"/>
    <x v="2"/>
    <x v="0"/>
    <x v="0"/>
    <x v="0"/>
    <x v="13"/>
    <x v="0"/>
    <x v="5"/>
    <x v="2"/>
  </r>
  <r>
    <x v="980"/>
    <x v="4"/>
    <x v="9"/>
    <n v="26.1"/>
    <x v="848"/>
    <x v="38"/>
    <d v="2025-02-13T00:00:00"/>
    <x v="1"/>
    <x v="0"/>
    <x v="2"/>
    <x v="0"/>
    <x v="21"/>
    <x v="0"/>
    <x v="5"/>
    <x v="1"/>
  </r>
  <r>
    <x v="981"/>
    <x v="12"/>
    <x v="9"/>
    <n v="66.8"/>
    <x v="849"/>
    <x v="38"/>
    <d v="2025-02-11T00:00:00"/>
    <x v="2"/>
    <x v="0"/>
    <x v="0"/>
    <x v="0"/>
    <x v="21"/>
    <x v="2"/>
    <x v="5"/>
    <x v="2"/>
  </r>
  <r>
    <x v="982"/>
    <x v="2"/>
    <x v="1"/>
    <n v="167.9"/>
    <x v="850"/>
    <x v="38"/>
    <d v="2025-02-09T00:00:00"/>
    <x v="2"/>
    <x v="3"/>
    <x v="2"/>
    <x v="0"/>
    <x v="21"/>
    <x v="3"/>
    <x v="5"/>
    <x v="2"/>
  </r>
  <r>
    <x v="983"/>
    <x v="10"/>
    <x v="11"/>
    <n v="34.6"/>
    <x v="851"/>
    <x v="38"/>
    <d v="2025-02-09T00:00:00"/>
    <x v="2"/>
    <x v="2"/>
    <x v="1"/>
    <x v="0"/>
    <x v="21"/>
    <x v="3"/>
    <x v="5"/>
    <x v="2"/>
  </r>
  <r>
    <x v="984"/>
    <x v="8"/>
    <x v="2"/>
    <n v="35.1"/>
    <x v="852"/>
    <x v="39"/>
    <d v="2025-02-13T00:00:00"/>
    <x v="1"/>
    <x v="4"/>
    <x v="2"/>
    <x v="0"/>
    <x v="1"/>
    <x v="5"/>
    <x v="6"/>
    <x v="1"/>
  </r>
  <r>
    <x v="985"/>
    <x v="6"/>
    <x v="12"/>
    <n v="104.5"/>
    <x v="378"/>
    <x v="39"/>
    <d v="2025-02-10T00:00:00"/>
    <x v="1"/>
    <x v="1"/>
    <x v="1"/>
    <x v="0"/>
    <x v="1"/>
    <x v="3"/>
    <x v="6"/>
    <x v="1"/>
  </r>
  <r>
    <x v="986"/>
    <x v="8"/>
    <x v="0"/>
    <n v="37.9"/>
    <x v="853"/>
    <x v="39"/>
    <d v="2025-02-11T00:00:00"/>
    <x v="0"/>
    <x v="1"/>
    <x v="2"/>
    <x v="0"/>
    <x v="2"/>
    <x v="1"/>
    <x v="6"/>
    <x v="0"/>
  </r>
  <r>
    <x v="987"/>
    <x v="4"/>
    <x v="2"/>
    <n v="25.5"/>
    <x v="514"/>
    <x v="39"/>
    <d v="2025-02-12T00:00:00"/>
    <x v="1"/>
    <x v="3"/>
    <x v="0"/>
    <x v="0"/>
    <x v="2"/>
    <x v="2"/>
    <x v="6"/>
    <x v="1"/>
  </r>
  <r>
    <x v="988"/>
    <x v="0"/>
    <x v="2"/>
    <n v="32"/>
    <x v="854"/>
    <x v="39"/>
    <d v="2025-02-13T00:00:00"/>
    <x v="2"/>
    <x v="1"/>
    <x v="0"/>
    <x v="0"/>
    <x v="22"/>
    <x v="5"/>
    <x v="6"/>
    <x v="2"/>
  </r>
  <r>
    <x v="989"/>
    <x v="1"/>
    <x v="0"/>
    <n v="47.1"/>
    <x v="392"/>
    <x v="39"/>
    <d v="2025-02-10T00:00:00"/>
    <x v="2"/>
    <x v="0"/>
    <x v="0"/>
    <x v="0"/>
    <x v="34"/>
    <x v="3"/>
    <x v="6"/>
    <x v="2"/>
  </r>
  <r>
    <x v="990"/>
    <x v="6"/>
    <x v="1"/>
    <n v="50.6"/>
    <x v="855"/>
    <x v="39"/>
    <d v="2025-02-15T00:00:00"/>
    <x v="0"/>
    <x v="0"/>
    <x v="0"/>
    <x v="0"/>
    <x v="3"/>
    <x v="4"/>
    <x v="6"/>
    <x v="0"/>
  </r>
  <r>
    <x v="991"/>
    <x v="6"/>
    <x v="9"/>
    <n v="81.7"/>
    <x v="856"/>
    <x v="39"/>
    <d v="2025-02-10T00:00:00"/>
    <x v="2"/>
    <x v="1"/>
    <x v="2"/>
    <x v="0"/>
    <x v="3"/>
    <x v="3"/>
    <x v="6"/>
    <x v="2"/>
  </r>
  <r>
    <x v="992"/>
    <x v="5"/>
    <x v="1"/>
    <n v="50.7"/>
    <x v="857"/>
    <x v="39"/>
    <d v="2025-02-10T00:00:00"/>
    <x v="3"/>
    <x v="2"/>
    <x v="2"/>
    <x v="0"/>
    <x v="3"/>
    <x v="3"/>
    <x v="6"/>
    <x v="3"/>
  </r>
  <r>
    <x v="993"/>
    <x v="2"/>
    <x v="10"/>
    <n v="67.3"/>
    <x v="858"/>
    <x v="39"/>
    <d v="2025-02-13T00:00:00"/>
    <x v="2"/>
    <x v="2"/>
    <x v="0"/>
    <x v="0"/>
    <x v="3"/>
    <x v="5"/>
    <x v="6"/>
    <x v="2"/>
  </r>
  <r>
    <x v="994"/>
    <x v="2"/>
    <x v="12"/>
    <n v="64.8"/>
    <x v="629"/>
    <x v="39"/>
    <d v="2025-02-12T00:00:00"/>
    <x v="2"/>
    <x v="3"/>
    <x v="0"/>
    <x v="0"/>
    <x v="3"/>
    <x v="2"/>
    <x v="6"/>
    <x v="2"/>
  </r>
  <r>
    <x v="995"/>
    <x v="5"/>
    <x v="32"/>
    <n v="61.3"/>
    <x v="859"/>
    <x v="39"/>
    <d v="2025-02-10T00:00:00"/>
    <x v="2"/>
    <x v="0"/>
    <x v="2"/>
    <x v="0"/>
    <x v="3"/>
    <x v="3"/>
    <x v="6"/>
    <x v="2"/>
  </r>
  <r>
    <x v="996"/>
    <x v="14"/>
    <x v="0"/>
    <n v="32.9"/>
    <x v="860"/>
    <x v="39"/>
    <d v="2025-02-12T00:00:00"/>
    <x v="2"/>
    <x v="4"/>
    <x v="0"/>
    <x v="0"/>
    <x v="3"/>
    <x v="2"/>
    <x v="6"/>
    <x v="2"/>
  </r>
  <r>
    <x v="997"/>
    <x v="6"/>
    <x v="1"/>
    <n v="100.8"/>
    <x v="861"/>
    <x v="39"/>
    <d v="2025-02-12T00:00:00"/>
    <x v="2"/>
    <x v="0"/>
    <x v="0"/>
    <x v="0"/>
    <x v="3"/>
    <x v="2"/>
    <x v="6"/>
    <x v="2"/>
  </r>
  <r>
    <x v="998"/>
    <x v="8"/>
    <x v="12"/>
    <n v="25.1"/>
    <x v="862"/>
    <x v="39"/>
    <d v="2025-02-11T00:00:00"/>
    <x v="2"/>
    <x v="1"/>
    <x v="0"/>
    <x v="0"/>
    <x v="3"/>
    <x v="1"/>
    <x v="6"/>
    <x v="2"/>
  </r>
  <r>
    <x v="999"/>
    <x v="17"/>
    <x v="0"/>
    <n v="48.5"/>
    <x v="319"/>
    <x v="39"/>
    <d v="2025-02-10T00:00:00"/>
    <x v="2"/>
    <x v="0"/>
    <x v="1"/>
    <x v="0"/>
    <x v="3"/>
    <x v="3"/>
    <x v="6"/>
    <x v="2"/>
  </r>
  <r>
    <x v="1000"/>
    <x v="7"/>
    <x v="1"/>
    <n v="33.6"/>
    <x v="863"/>
    <x v="39"/>
    <d v="2025-02-13T00:00:00"/>
    <x v="2"/>
    <x v="2"/>
    <x v="2"/>
    <x v="0"/>
    <x v="3"/>
    <x v="5"/>
    <x v="6"/>
    <x v="2"/>
  </r>
  <r>
    <x v="1001"/>
    <x v="8"/>
    <x v="0"/>
    <n v="39.299999999999997"/>
    <x v="864"/>
    <x v="39"/>
    <d v="2025-02-20T00:00:00"/>
    <x v="2"/>
    <x v="1"/>
    <x v="1"/>
    <x v="0"/>
    <x v="49"/>
    <x v="11"/>
    <x v="6"/>
    <x v="2"/>
  </r>
  <r>
    <x v="1002"/>
    <x v="4"/>
    <x v="7"/>
    <n v="48.8"/>
    <x v="865"/>
    <x v="39"/>
    <d v="2025-02-11T00:00:00"/>
    <x v="2"/>
    <x v="3"/>
    <x v="1"/>
    <x v="0"/>
    <x v="25"/>
    <x v="1"/>
    <x v="6"/>
    <x v="2"/>
  </r>
  <r>
    <x v="1003"/>
    <x v="6"/>
    <x v="8"/>
    <n v="72.8"/>
    <x v="866"/>
    <x v="39"/>
    <d v="2025-02-11T00:00:00"/>
    <x v="1"/>
    <x v="1"/>
    <x v="2"/>
    <x v="0"/>
    <x v="5"/>
    <x v="1"/>
    <x v="6"/>
    <x v="1"/>
  </r>
  <r>
    <x v="1004"/>
    <x v="10"/>
    <x v="8"/>
    <n v="46.2"/>
    <x v="867"/>
    <x v="39"/>
    <d v="2025-02-10T00:00:00"/>
    <x v="1"/>
    <x v="3"/>
    <x v="4"/>
    <x v="0"/>
    <x v="5"/>
    <x v="3"/>
    <x v="6"/>
    <x v="1"/>
  </r>
  <r>
    <x v="1005"/>
    <x v="4"/>
    <x v="1"/>
    <n v="20.7"/>
    <x v="50"/>
    <x v="39"/>
    <d v="2025-02-10T00:00:00"/>
    <x v="2"/>
    <x v="2"/>
    <x v="3"/>
    <x v="0"/>
    <x v="6"/>
    <x v="3"/>
    <x v="6"/>
    <x v="2"/>
  </r>
  <r>
    <x v="1006"/>
    <x v="0"/>
    <x v="0"/>
    <n v="35.700000000000003"/>
    <x v="519"/>
    <x v="39"/>
    <d v="2025-02-11T00:00:00"/>
    <x v="2"/>
    <x v="3"/>
    <x v="0"/>
    <x v="0"/>
    <x v="6"/>
    <x v="1"/>
    <x v="6"/>
    <x v="2"/>
  </r>
  <r>
    <x v="1007"/>
    <x v="2"/>
    <x v="27"/>
    <n v="166.2"/>
    <x v="868"/>
    <x v="39"/>
    <d v="2025-02-11T00:00:00"/>
    <x v="0"/>
    <x v="2"/>
    <x v="0"/>
    <x v="0"/>
    <x v="7"/>
    <x v="1"/>
    <x v="6"/>
    <x v="0"/>
  </r>
  <r>
    <x v="1008"/>
    <x v="6"/>
    <x v="12"/>
    <n v="85.8"/>
    <x v="869"/>
    <x v="39"/>
    <d v="2025-02-10T00:00:00"/>
    <x v="2"/>
    <x v="1"/>
    <x v="1"/>
    <x v="0"/>
    <x v="7"/>
    <x v="3"/>
    <x v="6"/>
    <x v="2"/>
  </r>
  <r>
    <x v="1009"/>
    <x v="8"/>
    <x v="2"/>
    <n v="26"/>
    <x v="292"/>
    <x v="39"/>
    <d v="2025-02-11T00:00:00"/>
    <x v="3"/>
    <x v="1"/>
    <x v="0"/>
    <x v="0"/>
    <x v="7"/>
    <x v="1"/>
    <x v="6"/>
    <x v="3"/>
  </r>
  <r>
    <x v="1010"/>
    <x v="2"/>
    <x v="15"/>
    <n v="116.6"/>
    <x v="870"/>
    <x v="39"/>
    <d v="2025-02-12T00:00:00"/>
    <x v="2"/>
    <x v="0"/>
    <x v="0"/>
    <x v="0"/>
    <x v="8"/>
    <x v="2"/>
    <x v="6"/>
    <x v="2"/>
  </r>
  <r>
    <x v="1011"/>
    <x v="9"/>
    <x v="3"/>
    <n v="53.9"/>
    <x v="871"/>
    <x v="39"/>
    <d v="2025-02-12T00:00:00"/>
    <x v="3"/>
    <x v="0"/>
    <x v="2"/>
    <x v="0"/>
    <x v="8"/>
    <x v="2"/>
    <x v="6"/>
    <x v="3"/>
  </r>
  <r>
    <x v="1012"/>
    <x v="12"/>
    <x v="9"/>
    <n v="72.3"/>
    <x v="785"/>
    <x v="39"/>
    <d v="2025-02-11T00:00:00"/>
    <x v="0"/>
    <x v="2"/>
    <x v="2"/>
    <x v="0"/>
    <x v="8"/>
    <x v="1"/>
    <x v="6"/>
    <x v="0"/>
  </r>
  <r>
    <x v="1013"/>
    <x v="5"/>
    <x v="1"/>
    <n v="31.4"/>
    <x v="143"/>
    <x v="39"/>
    <d v="2025-02-11T00:00:00"/>
    <x v="2"/>
    <x v="0"/>
    <x v="0"/>
    <x v="0"/>
    <x v="8"/>
    <x v="1"/>
    <x v="6"/>
    <x v="2"/>
  </r>
  <r>
    <x v="1014"/>
    <x v="13"/>
    <x v="1"/>
    <n v="53.1"/>
    <x v="872"/>
    <x v="39"/>
    <d v="2025-02-12T00:00:00"/>
    <x v="1"/>
    <x v="1"/>
    <x v="0"/>
    <x v="0"/>
    <x v="8"/>
    <x v="2"/>
    <x v="6"/>
    <x v="1"/>
  </r>
  <r>
    <x v="1015"/>
    <x v="2"/>
    <x v="12"/>
    <n v="56.2"/>
    <x v="873"/>
    <x v="39"/>
    <d v="2025-02-10T00:00:00"/>
    <x v="2"/>
    <x v="0"/>
    <x v="0"/>
    <x v="0"/>
    <x v="8"/>
    <x v="3"/>
    <x v="6"/>
    <x v="2"/>
  </r>
  <r>
    <x v="1016"/>
    <x v="1"/>
    <x v="7"/>
    <n v="77.3"/>
    <x v="874"/>
    <x v="39"/>
    <d v="2025-02-10T00:00:00"/>
    <x v="2"/>
    <x v="2"/>
    <x v="0"/>
    <x v="0"/>
    <x v="11"/>
    <x v="3"/>
    <x v="6"/>
    <x v="2"/>
  </r>
  <r>
    <x v="1017"/>
    <x v="6"/>
    <x v="15"/>
    <n v="57.8"/>
    <x v="875"/>
    <x v="39"/>
    <d v="2025-02-10T00:00:00"/>
    <x v="0"/>
    <x v="0"/>
    <x v="0"/>
    <x v="0"/>
    <x v="53"/>
    <x v="3"/>
    <x v="6"/>
    <x v="0"/>
  </r>
  <r>
    <x v="1018"/>
    <x v="12"/>
    <x v="20"/>
    <n v="42.1"/>
    <x v="876"/>
    <x v="39"/>
    <d v="2025-02-11T00:00:00"/>
    <x v="2"/>
    <x v="1"/>
    <x v="1"/>
    <x v="0"/>
    <x v="53"/>
    <x v="1"/>
    <x v="6"/>
    <x v="2"/>
  </r>
  <r>
    <x v="1019"/>
    <x v="8"/>
    <x v="11"/>
    <n v="22.8"/>
    <x v="877"/>
    <x v="39"/>
    <d v="2025-02-13T00:00:00"/>
    <x v="1"/>
    <x v="2"/>
    <x v="2"/>
    <x v="0"/>
    <x v="19"/>
    <x v="5"/>
    <x v="6"/>
    <x v="1"/>
  </r>
  <r>
    <x v="1020"/>
    <x v="2"/>
    <x v="2"/>
    <n v="171.1"/>
    <x v="878"/>
    <x v="40"/>
    <d v="2025-02-17T00:00:00"/>
    <x v="2"/>
    <x v="2"/>
    <x v="1"/>
    <x v="0"/>
    <x v="19"/>
    <x v="6"/>
    <x v="6"/>
    <x v="2"/>
  </r>
  <r>
    <x v="1021"/>
    <x v="8"/>
    <x v="0"/>
    <n v="28"/>
    <x v="879"/>
    <x v="40"/>
    <d v="2025-02-12T00:00:00"/>
    <x v="1"/>
    <x v="2"/>
    <x v="2"/>
    <x v="0"/>
    <x v="21"/>
    <x v="1"/>
    <x v="6"/>
    <x v="1"/>
  </r>
  <r>
    <x v="1022"/>
    <x v="6"/>
    <x v="3"/>
    <n v="50.2"/>
    <x v="880"/>
    <x v="40"/>
    <d v="2025-02-12T00:00:00"/>
    <x v="1"/>
    <x v="2"/>
    <x v="0"/>
    <x v="0"/>
    <x v="21"/>
    <x v="1"/>
    <x v="6"/>
    <x v="1"/>
  </r>
  <r>
    <x v="1023"/>
    <x v="6"/>
    <x v="1"/>
    <n v="56"/>
    <x v="881"/>
    <x v="40"/>
    <d v="2025-02-10T00:00:00"/>
    <x v="1"/>
    <x v="0"/>
    <x v="2"/>
    <x v="0"/>
    <x v="22"/>
    <x v="7"/>
    <x v="6"/>
    <x v="1"/>
  </r>
  <r>
    <x v="1024"/>
    <x v="1"/>
    <x v="1"/>
    <n v="38.299999999999997"/>
    <x v="882"/>
    <x v="40"/>
    <d v="2025-02-11T00:00:00"/>
    <x v="2"/>
    <x v="1"/>
    <x v="0"/>
    <x v="0"/>
    <x v="3"/>
    <x v="3"/>
    <x v="6"/>
    <x v="2"/>
  </r>
  <r>
    <x v="1025"/>
    <x v="0"/>
    <x v="9"/>
    <n v="22.3"/>
    <x v="883"/>
    <x v="40"/>
    <d v="2025-02-14T00:00:00"/>
    <x v="2"/>
    <x v="2"/>
    <x v="1"/>
    <x v="0"/>
    <x v="3"/>
    <x v="5"/>
    <x v="6"/>
    <x v="2"/>
  </r>
  <r>
    <x v="1026"/>
    <x v="0"/>
    <x v="2"/>
    <n v="22.3"/>
    <x v="884"/>
    <x v="40"/>
    <d v="2025-02-13T00:00:00"/>
    <x v="2"/>
    <x v="2"/>
    <x v="0"/>
    <x v="0"/>
    <x v="3"/>
    <x v="2"/>
    <x v="6"/>
    <x v="2"/>
  </r>
  <r>
    <x v="1027"/>
    <x v="1"/>
    <x v="0"/>
    <n v="32.9"/>
    <x v="860"/>
    <x v="40"/>
    <d v="2025-02-15T00:00:00"/>
    <x v="2"/>
    <x v="0"/>
    <x v="0"/>
    <x v="0"/>
    <x v="3"/>
    <x v="0"/>
    <x v="6"/>
    <x v="2"/>
  </r>
  <r>
    <x v="1028"/>
    <x v="10"/>
    <x v="2"/>
    <n v="31.9"/>
    <x v="802"/>
    <x v="40"/>
    <d v="2025-02-15T00:00:00"/>
    <x v="2"/>
    <x v="0"/>
    <x v="0"/>
    <x v="0"/>
    <x v="3"/>
    <x v="0"/>
    <x v="6"/>
    <x v="2"/>
  </r>
  <r>
    <x v="1029"/>
    <x v="6"/>
    <x v="1"/>
    <n v="94"/>
    <x v="885"/>
    <x v="40"/>
    <d v="2025-02-11T00:00:00"/>
    <x v="1"/>
    <x v="2"/>
    <x v="2"/>
    <x v="0"/>
    <x v="3"/>
    <x v="3"/>
    <x v="6"/>
    <x v="1"/>
  </r>
  <r>
    <x v="1030"/>
    <x v="10"/>
    <x v="1"/>
    <n v="30.7"/>
    <x v="886"/>
    <x v="40"/>
    <d v="2025-02-11T00:00:00"/>
    <x v="2"/>
    <x v="0"/>
    <x v="1"/>
    <x v="0"/>
    <x v="3"/>
    <x v="3"/>
    <x v="6"/>
    <x v="2"/>
  </r>
  <r>
    <x v="1031"/>
    <x v="5"/>
    <x v="9"/>
    <n v="90.5"/>
    <x v="887"/>
    <x v="40"/>
    <d v="2025-02-17T00:00:00"/>
    <x v="1"/>
    <x v="0"/>
    <x v="2"/>
    <x v="0"/>
    <x v="3"/>
    <x v="6"/>
    <x v="6"/>
    <x v="1"/>
  </r>
  <r>
    <x v="1032"/>
    <x v="8"/>
    <x v="9"/>
    <n v="25.3"/>
    <x v="888"/>
    <x v="40"/>
    <d v="2025-02-14T00:00:00"/>
    <x v="2"/>
    <x v="0"/>
    <x v="2"/>
    <x v="0"/>
    <x v="3"/>
    <x v="5"/>
    <x v="6"/>
    <x v="2"/>
  </r>
  <r>
    <x v="1033"/>
    <x v="6"/>
    <x v="2"/>
    <n v="58.1"/>
    <x v="889"/>
    <x v="40"/>
    <d v="2025-02-14T00:00:00"/>
    <x v="0"/>
    <x v="0"/>
    <x v="2"/>
    <x v="0"/>
    <x v="3"/>
    <x v="5"/>
    <x v="6"/>
    <x v="0"/>
  </r>
  <r>
    <x v="1034"/>
    <x v="2"/>
    <x v="2"/>
    <n v="74.900000000000006"/>
    <x v="890"/>
    <x v="40"/>
    <d v="2025-02-11T00:00:00"/>
    <x v="2"/>
    <x v="4"/>
    <x v="0"/>
    <x v="0"/>
    <x v="3"/>
    <x v="3"/>
    <x v="6"/>
    <x v="2"/>
  </r>
  <r>
    <x v="1035"/>
    <x v="4"/>
    <x v="1"/>
    <n v="32.5"/>
    <x v="891"/>
    <x v="40"/>
    <d v="2025-02-11T00:00:00"/>
    <x v="1"/>
    <x v="2"/>
    <x v="2"/>
    <x v="0"/>
    <x v="43"/>
    <x v="3"/>
    <x v="6"/>
    <x v="1"/>
  </r>
  <r>
    <x v="1036"/>
    <x v="4"/>
    <x v="9"/>
    <n v="62"/>
    <x v="892"/>
    <x v="40"/>
    <d v="2025-02-11T00:00:00"/>
    <x v="1"/>
    <x v="4"/>
    <x v="2"/>
    <x v="0"/>
    <x v="25"/>
    <x v="3"/>
    <x v="6"/>
    <x v="1"/>
  </r>
  <r>
    <x v="1037"/>
    <x v="13"/>
    <x v="13"/>
    <n v="28.9"/>
    <x v="893"/>
    <x v="40"/>
    <d v="2025-02-13T00:00:00"/>
    <x v="2"/>
    <x v="0"/>
    <x v="1"/>
    <x v="0"/>
    <x v="6"/>
    <x v="2"/>
    <x v="6"/>
    <x v="2"/>
  </r>
  <r>
    <x v="1038"/>
    <x v="6"/>
    <x v="8"/>
    <n v="42.8"/>
    <x v="894"/>
    <x v="40"/>
    <d v="2025-02-12T00:00:00"/>
    <x v="2"/>
    <x v="0"/>
    <x v="2"/>
    <x v="0"/>
    <x v="6"/>
    <x v="1"/>
    <x v="6"/>
    <x v="2"/>
  </r>
  <r>
    <x v="1039"/>
    <x v="8"/>
    <x v="8"/>
    <n v="39.4"/>
    <x v="895"/>
    <x v="40"/>
    <d v="2025-02-12T00:00:00"/>
    <x v="1"/>
    <x v="0"/>
    <x v="0"/>
    <x v="0"/>
    <x v="36"/>
    <x v="1"/>
    <x v="6"/>
    <x v="1"/>
  </r>
  <r>
    <x v="1040"/>
    <x v="18"/>
    <x v="2"/>
    <n v="66.400000000000006"/>
    <x v="896"/>
    <x v="40"/>
    <d v="2025-02-11T00:00:00"/>
    <x v="0"/>
    <x v="2"/>
    <x v="1"/>
    <x v="0"/>
    <x v="7"/>
    <x v="3"/>
    <x v="6"/>
    <x v="0"/>
  </r>
  <r>
    <x v="1041"/>
    <x v="17"/>
    <x v="12"/>
    <n v="35.9"/>
    <x v="897"/>
    <x v="40"/>
    <d v="2025-02-17T00:00:00"/>
    <x v="2"/>
    <x v="1"/>
    <x v="0"/>
    <x v="0"/>
    <x v="7"/>
    <x v="6"/>
    <x v="6"/>
    <x v="2"/>
  </r>
  <r>
    <x v="1042"/>
    <x v="0"/>
    <x v="12"/>
    <n v="26.9"/>
    <x v="799"/>
    <x v="40"/>
    <d v="2025-02-11T00:00:00"/>
    <x v="1"/>
    <x v="1"/>
    <x v="0"/>
    <x v="0"/>
    <x v="7"/>
    <x v="3"/>
    <x v="6"/>
    <x v="1"/>
  </r>
  <r>
    <x v="1043"/>
    <x v="2"/>
    <x v="0"/>
    <n v="55.1"/>
    <x v="898"/>
    <x v="40"/>
    <d v="2025-02-11T00:00:00"/>
    <x v="2"/>
    <x v="0"/>
    <x v="0"/>
    <x v="0"/>
    <x v="7"/>
    <x v="3"/>
    <x v="6"/>
    <x v="2"/>
  </r>
  <r>
    <x v="1044"/>
    <x v="4"/>
    <x v="1"/>
    <n v="23.9"/>
    <x v="538"/>
    <x v="40"/>
    <d v="2025-02-11T00:00:00"/>
    <x v="1"/>
    <x v="0"/>
    <x v="2"/>
    <x v="0"/>
    <x v="8"/>
    <x v="3"/>
    <x v="6"/>
    <x v="1"/>
  </r>
  <r>
    <x v="1045"/>
    <x v="9"/>
    <x v="15"/>
    <n v="21.1"/>
    <x v="899"/>
    <x v="40"/>
    <d v="2025-02-18T00:00:00"/>
    <x v="2"/>
    <x v="0"/>
    <x v="1"/>
    <x v="0"/>
    <x v="8"/>
    <x v="9"/>
    <x v="6"/>
    <x v="2"/>
  </r>
  <r>
    <x v="1046"/>
    <x v="8"/>
    <x v="9"/>
    <n v="33.799999999999997"/>
    <x v="900"/>
    <x v="40"/>
    <d v="2025-02-12T00:00:00"/>
    <x v="2"/>
    <x v="0"/>
    <x v="0"/>
    <x v="0"/>
    <x v="8"/>
    <x v="1"/>
    <x v="6"/>
    <x v="2"/>
  </r>
  <r>
    <x v="1047"/>
    <x v="2"/>
    <x v="12"/>
    <n v="56.1"/>
    <x v="901"/>
    <x v="40"/>
    <d v="2025-02-10T00:00:00"/>
    <x v="2"/>
    <x v="3"/>
    <x v="2"/>
    <x v="0"/>
    <x v="9"/>
    <x v="7"/>
    <x v="6"/>
    <x v="2"/>
  </r>
  <r>
    <x v="1048"/>
    <x v="3"/>
    <x v="0"/>
    <n v="58.5"/>
    <x v="902"/>
    <x v="41"/>
    <d v="2025-02-15T00:00:00"/>
    <x v="2"/>
    <x v="1"/>
    <x v="2"/>
    <x v="0"/>
    <x v="9"/>
    <x v="5"/>
    <x v="6"/>
    <x v="2"/>
  </r>
  <r>
    <x v="1049"/>
    <x v="6"/>
    <x v="0"/>
    <n v="84.2"/>
    <x v="903"/>
    <x v="41"/>
    <d v="2025-02-13T00:00:00"/>
    <x v="1"/>
    <x v="3"/>
    <x v="0"/>
    <x v="0"/>
    <x v="11"/>
    <x v="1"/>
    <x v="6"/>
    <x v="1"/>
  </r>
  <r>
    <x v="1050"/>
    <x v="11"/>
    <x v="12"/>
    <n v="52"/>
    <x v="904"/>
    <x v="41"/>
    <d v="2025-02-14T00:00:00"/>
    <x v="1"/>
    <x v="0"/>
    <x v="0"/>
    <x v="0"/>
    <x v="11"/>
    <x v="2"/>
    <x v="6"/>
    <x v="1"/>
  </r>
  <r>
    <x v="1051"/>
    <x v="4"/>
    <x v="9"/>
    <n v="31.5"/>
    <x v="905"/>
    <x v="41"/>
    <d v="2025-02-12T00:00:00"/>
    <x v="2"/>
    <x v="0"/>
    <x v="2"/>
    <x v="0"/>
    <x v="11"/>
    <x v="3"/>
    <x v="6"/>
    <x v="2"/>
  </r>
  <r>
    <x v="1052"/>
    <x v="16"/>
    <x v="2"/>
    <n v="46.2"/>
    <x v="209"/>
    <x v="41"/>
    <d v="2025-02-12T00:00:00"/>
    <x v="1"/>
    <x v="0"/>
    <x v="0"/>
    <x v="0"/>
    <x v="53"/>
    <x v="3"/>
    <x v="6"/>
    <x v="1"/>
  </r>
  <r>
    <x v="1053"/>
    <x v="2"/>
    <x v="13"/>
    <n v="135"/>
    <x v="906"/>
    <x v="41"/>
    <d v="2025-02-12T00:00:00"/>
    <x v="2"/>
    <x v="1"/>
    <x v="2"/>
    <x v="0"/>
    <x v="18"/>
    <x v="3"/>
    <x v="6"/>
    <x v="2"/>
  </r>
  <r>
    <x v="1054"/>
    <x v="12"/>
    <x v="2"/>
    <n v="92.2"/>
    <x v="907"/>
    <x v="41"/>
    <d v="2025-02-15T00:00:00"/>
    <x v="1"/>
    <x v="0"/>
    <x v="0"/>
    <x v="0"/>
    <x v="21"/>
    <x v="5"/>
    <x v="6"/>
    <x v="1"/>
  </r>
  <r>
    <x v="1055"/>
    <x v="8"/>
    <x v="0"/>
    <n v="36.6"/>
    <x v="547"/>
    <x v="41"/>
    <d v="2025-02-13T00:00:00"/>
    <x v="1"/>
    <x v="2"/>
    <x v="2"/>
    <x v="0"/>
    <x v="21"/>
    <x v="1"/>
    <x v="6"/>
    <x v="1"/>
  </r>
  <r>
    <x v="1056"/>
    <x v="9"/>
    <x v="1"/>
    <n v="50.6"/>
    <x v="855"/>
    <x v="41"/>
    <d v="2025-02-14T00:00:00"/>
    <x v="2"/>
    <x v="0"/>
    <x v="0"/>
    <x v="0"/>
    <x v="2"/>
    <x v="2"/>
    <x v="6"/>
    <x v="2"/>
  </r>
  <r>
    <x v="1057"/>
    <x v="18"/>
    <x v="3"/>
    <n v="56.7"/>
    <x v="908"/>
    <x v="41"/>
    <d v="2025-02-14T00:00:00"/>
    <x v="2"/>
    <x v="0"/>
    <x v="0"/>
    <x v="0"/>
    <x v="2"/>
    <x v="2"/>
    <x v="6"/>
    <x v="2"/>
  </r>
  <r>
    <x v="1058"/>
    <x v="9"/>
    <x v="15"/>
    <n v="22.9"/>
    <x v="909"/>
    <x v="41"/>
    <d v="2025-02-12T00:00:00"/>
    <x v="2"/>
    <x v="0"/>
    <x v="1"/>
    <x v="0"/>
    <x v="44"/>
    <x v="3"/>
    <x v="6"/>
    <x v="2"/>
  </r>
  <r>
    <x v="1059"/>
    <x v="15"/>
    <x v="10"/>
    <n v="53.6"/>
    <x v="910"/>
    <x v="41"/>
    <d v="2025-02-12T00:00:00"/>
    <x v="1"/>
    <x v="0"/>
    <x v="0"/>
    <x v="0"/>
    <x v="22"/>
    <x v="3"/>
    <x v="6"/>
    <x v="1"/>
  </r>
  <r>
    <x v="1060"/>
    <x v="18"/>
    <x v="1"/>
    <n v="30.2"/>
    <x v="266"/>
    <x v="41"/>
    <d v="2025-02-13T00:00:00"/>
    <x v="0"/>
    <x v="2"/>
    <x v="2"/>
    <x v="0"/>
    <x v="3"/>
    <x v="1"/>
    <x v="6"/>
    <x v="0"/>
  </r>
  <r>
    <x v="1061"/>
    <x v="15"/>
    <x v="13"/>
    <n v="83.4"/>
    <x v="911"/>
    <x v="41"/>
    <d v="2025-02-12T00:00:00"/>
    <x v="1"/>
    <x v="1"/>
    <x v="2"/>
    <x v="0"/>
    <x v="3"/>
    <x v="3"/>
    <x v="6"/>
    <x v="1"/>
  </r>
  <r>
    <x v="1062"/>
    <x v="13"/>
    <x v="4"/>
    <n v="16.600000000000001"/>
    <x v="896"/>
    <x v="41"/>
    <d v="2025-02-13T00:00:00"/>
    <x v="1"/>
    <x v="1"/>
    <x v="0"/>
    <x v="0"/>
    <x v="3"/>
    <x v="1"/>
    <x v="6"/>
    <x v="1"/>
  </r>
  <r>
    <x v="1063"/>
    <x v="8"/>
    <x v="14"/>
    <n v="21.9"/>
    <x v="912"/>
    <x v="41"/>
    <d v="2025-02-13T00:00:00"/>
    <x v="2"/>
    <x v="4"/>
    <x v="1"/>
    <x v="0"/>
    <x v="3"/>
    <x v="1"/>
    <x v="6"/>
    <x v="2"/>
  </r>
  <r>
    <x v="1064"/>
    <x v="8"/>
    <x v="31"/>
    <n v="33.799999999999997"/>
    <x v="913"/>
    <x v="41"/>
    <d v="2025-02-13T00:00:00"/>
    <x v="1"/>
    <x v="2"/>
    <x v="4"/>
    <x v="0"/>
    <x v="3"/>
    <x v="1"/>
    <x v="6"/>
    <x v="1"/>
  </r>
  <r>
    <x v="1065"/>
    <x v="18"/>
    <x v="1"/>
    <n v="53.2"/>
    <x v="793"/>
    <x v="41"/>
    <d v="2025-02-11T00:00:00"/>
    <x v="1"/>
    <x v="1"/>
    <x v="0"/>
    <x v="0"/>
    <x v="3"/>
    <x v="7"/>
    <x v="6"/>
    <x v="1"/>
  </r>
  <r>
    <x v="1066"/>
    <x v="2"/>
    <x v="1"/>
    <n v="176.7"/>
    <x v="914"/>
    <x v="41"/>
    <d v="2025-02-14T00:00:00"/>
    <x v="2"/>
    <x v="2"/>
    <x v="0"/>
    <x v="0"/>
    <x v="3"/>
    <x v="2"/>
    <x v="6"/>
    <x v="2"/>
  </r>
  <r>
    <x v="1067"/>
    <x v="12"/>
    <x v="2"/>
    <n v="54"/>
    <x v="915"/>
    <x v="41"/>
    <d v="2025-02-14T00:00:00"/>
    <x v="1"/>
    <x v="0"/>
    <x v="1"/>
    <x v="0"/>
    <x v="3"/>
    <x v="2"/>
    <x v="6"/>
    <x v="1"/>
  </r>
  <r>
    <x v="1068"/>
    <x v="9"/>
    <x v="1"/>
    <n v="70.099999999999994"/>
    <x v="634"/>
    <x v="41"/>
    <d v="2025-02-19T00:00:00"/>
    <x v="2"/>
    <x v="3"/>
    <x v="2"/>
    <x v="0"/>
    <x v="3"/>
    <x v="9"/>
    <x v="6"/>
    <x v="2"/>
  </r>
  <r>
    <x v="1069"/>
    <x v="8"/>
    <x v="0"/>
    <n v="26.5"/>
    <x v="38"/>
    <x v="41"/>
    <d v="2025-02-13T00:00:00"/>
    <x v="2"/>
    <x v="1"/>
    <x v="0"/>
    <x v="0"/>
    <x v="3"/>
    <x v="1"/>
    <x v="6"/>
    <x v="2"/>
  </r>
  <r>
    <x v="1070"/>
    <x v="7"/>
    <x v="9"/>
    <n v="89"/>
    <x v="916"/>
    <x v="41"/>
    <d v="2025-02-13T00:00:00"/>
    <x v="1"/>
    <x v="2"/>
    <x v="4"/>
    <x v="0"/>
    <x v="3"/>
    <x v="1"/>
    <x v="6"/>
    <x v="1"/>
  </r>
  <r>
    <x v="1071"/>
    <x v="1"/>
    <x v="13"/>
    <n v="47"/>
    <x v="917"/>
    <x v="41"/>
    <d v="2025-02-14T00:00:00"/>
    <x v="2"/>
    <x v="3"/>
    <x v="0"/>
    <x v="0"/>
    <x v="24"/>
    <x v="2"/>
    <x v="6"/>
    <x v="2"/>
  </r>
  <r>
    <x v="1072"/>
    <x v="3"/>
    <x v="1"/>
    <n v="55.2"/>
    <x v="918"/>
    <x v="41"/>
    <d v="2025-02-14T00:00:00"/>
    <x v="1"/>
    <x v="1"/>
    <x v="1"/>
    <x v="0"/>
    <x v="6"/>
    <x v="2"/>
    <x v="6"/>
    <x v="1"/>
  </r>
  <r>
    <x v="1073"/>
    <x v="8"/>
    <x v="39"/>
    <n v="33.299999999999997"/>
    <x v="919"/>
    <x v="41"/>
    <d v="2025-02-25T00:00:00"/>
    <x v="1"/>
    <x v="1"/>
    <x v="2"/>
    <x v="0"/>
    <x v="6"/>
    <x v="12"/>
    <x v="6"/>
    <x v="1"/>
  </r>
  <r>
    <x v="1074"/>
    <x v="2"/>
    <x v="12"/>
    <n v="110.9"/>
    <x v="920"/>
    <x v="42"/>
    <d v="2025-02-12T00:00:00"/>
    <x v="1"/>
    <x v="2"/>
    <x v="4"/>
    <x v="0"/>
    <x v="6"/>
    <x v="7"/>
    <x v="6"/>
    <x v="1"/>
  </r>
  <r>
    <x v="1075"/>
    <x v="2"/>
    <x v="13"/>
    <n v="67.3"/>
    <x v="921"/>
    <x v="42"/>
    <d v="2025-02-13T00:00:00"/>
    <x v="1"/>
    <x v="0"/>
    <x v="0"/>
    <x v="0"/>
    <x v="8"/>
    <x v="3"/>
    <x v="6"/>
    <x v="1"/>
  </r>
  <r>
    <x v="1076"/>
    <x v="6"/>
    <x v="2"/>
    <n v="69.7"/>
    <x v="922"/>
    <x v="42"/>
    <d v="2025-02-13T00:00:00"/>
    <x v="1"/>
    <x v="2"/>
    <x v="1"/>
    <x v="0"/>
    <x v="8"/>
    <x v="3"/>
    <x v="6"/>
    <x v="1"/>
  </r>
  <r>
    <x v="1077"/>
    <x v="5"/>
    <x v="0"/>
    <n v="39.1"/>
    <x v="923"/>
    <x v="42"/>
    <d v="2025-02-17T00:00:00"/>
    <x v="1"/>
    <x v="0"/>
    <x v="1"/>
    <x v="0"/>
    <x v="17"/>
    <x v="0"/>
    <x v="6"/>
    <x v="1"/>
  </r>
  <r>
    <x v="1078"/>
    <x v="2"/>
    <x v="2"/>
    <n v="208.6"/>
    <x v="924"/>
    <x v="42"/>
    <d v="2025-02-12T00:00:00"/>
    <x v="1"/>
    <x v="4"/>
    <x v="2"/>
    <x v="0"/>
    <x v="17"/>
    <x v="7"/>
    <x v="6"/>
    <x v="1"/>
  </r>
  <r>
    <x v="1079"/>
    <x v="15"/>
    <x v="2"/>
    <n v="27.8"/>
    <x v="925"/>
    <x v="42"/>
    <d v="2025-02-13T00:00:00"/>
    <x v="1"/>
    <x v="3"/>
    <x v="1"/>
    <x v="0"/>
    <x v="11"/>
    <x v="3"/>
    <x v="6"/>
    <x v="1"/>
  </r>
  <r>
    <x v="1080"/>
    <x v="10"/>
    <x v="9"/>
    <n v="29.4"/>
    <x v="926"/>
    <x v="42"/>
    <d v="2025-02-14T00:00:00"/>
    <x v="2"/>
    <x v="0"/>
    <x v="0"/>
    <x v="0"/>
    <x v="11"/>
    <x v="1"/>
    <x v="6"/>
    <x v="2"/>
  </r>
  <r>
    <x v="1081"/>
    <x v="9"/>
    <x v="1"/>
    <n v="29.2"/>
    <x v="305"/>
    <x v="42"/>
    <d v="2025-02-14T00:00:00"/>
    <x v="2"/>
    <x v="1"/>
    <x v="2"/>
    <x v="0"/>
    <x v="20"/>
    <x v="1"/>
    <x v="6"/>
    <x v="2"/>
  </r>
  <r>
    <x v="1082"/>
    <x v="10"/>
    <x v="9"/>
    <n v="26.5"/>
    <x v="927"/>
    <x v="42"/>
    <d v="2025-02-14T00:00:00"/>
    <x v="2"/>
    <x v="0"/>
    <x v="0"/>
    <x v="0"/>
    <x v="52"/>
    <x v="1"/>
    <x v="6"/>
    <x v="2"/>
  </r>
  <r>
    <x v="1083"/>
    <x v="5"/>
    <x v="0"/>
    <n v="30.3"/>
    <x v="928"/>
    <x v="42"/>
    <d v="2025-02-13T00:00:00"/>
    <x v="2"/>
    <x v="4"/>
    <x v="1"/>
    <x v="0"/>
    <x v="13"/>
    <x v="3"/>
    <x v="6"/>
    <x v="2"/>
  </r>
  <r>
    <x v="1084"/>
    <x v="16"/>
    <x v="4"/>
    <n v="39.700000000000003"/>
    <x v="929"/>
    <x v="42"/>
    <d v="2025-02-13T00:00:00"/>
    <x v="2"/>
    <x v="0"/>
    <x v="0"/>
    <x v="0"/>
    <x v="21"/>
    <x v="3"/>
    <x v="6"/>
    <x v="2"/>
  </r>
  <r>
    <x v="1085"/>
    <x v="7"/>
    <x v="7"/>
    <n v="58.9"/>
    <x v="930"/>
    <x v="42"/>
    <d v="2025-02-14T00:00:00"/>
    <x v="2"/>
    <x v="1"/>
    <x v="4"/>
    <x v="0"/>
    <x v="21"/>
    <x v="1"/>
    <x v="6"/>
    <x v="2"/>
  </r>
  <r>
    <x v="1086"/>
    <x v="2"/>
    <x v="1"/>
    <n v="174.1"/>
    <x v="931"/>
    <x v="42"/>
    <d v="2025-02-14T00:00:00"/>
    <x v="2"/>
    <x v="0"/>
    <x v="1"/>
    <x v="0"/>
    <x v="46"/>
    <x v="1"/>
    <x v="6"/>
    <x v="2"/>
  </r>
  <r>
    <x v="1087"/>
    <x v="6"/>
    <x v="1"/>
    <n v="70.8"/>
    <x v="932"/>
    <x v="42"/>
    <d v="2025-02-15T00:00:00"/>
    <x v="1"/>
    <x v="2"/>
    <x v="0"/>
    <x v="0"/>
    <x v="22"/>
    <x v="2"/>
    <x v="6"/>
    <x v="1"/>
  </r>
  <r>
    <x v="1088"/>
    <x v="7"/>
    <x v="1"/>
    <n v="57.4"/>
    <x v="311"/>
    <x v="42"/>
    <d v="2025-02-14T00:00:00"/>
    <x v="2"/>
    <x v="1"/>
    <x v="1"/>
    <x v="0"/>
    <x v="34"/>
    <x v="1"/>
    <x v="6"/>
    <x v="2"/>
  </r>
  <r>
    <x v="1089"/>
    <x v="0"/>
    <x v="1"/>
    <n v="28.5"/>
    <x v="933"/>
    <x v="42"/>
    <d v="2025-02-14T00:00:00"/>
    <x v="1"/>
    <x v="3"/>
    <x v="1"/>
    <x v="0"/>
    <x v="3"/>
    <x v="1"/>
    <x v="6"/>
    <x v="1"/>
  </r>
  <r>
    <x v="1090"/>
    <x v="2"/>
    <x v="28"/>
    <n v="106.6"/>
    <x v="934"/>
    <x v="42"/>
    <d v="2025-02-13T00:00:00"/>
    <x v="0"/>
    <x v="1"/>
    <x v="4"/>
    <x v="0"/>
    <x v="3"/>
    <x v="3"/>
    <x v="6"/>
    <x v="0"/>
  </r>
  <r>
    <x v="1091"/>
    <x v="2"/>
    <x v="2"/>
    <n v="119.7"/>
    <x v="935"/>
    <x v="42"/>
    <d v="2025-02-13T00:00:00"/>
    <x v="2"/>
    <x v="1"/>
    <x v="4"/>
    <x v="0"/>
    <x v="3"/>
    <x v="3"/>
    <x v="6"/>
    <x v="2"/>
  </r>
  <r>
    <x v="1092"/>
    <x v="18"/>
    <x v="0"/>
    <n v="73.3"/>
    <x v="936"/>
    <x v="42"/>
    <d v="2025-02-17T00:00:00"/>
    <x v="2"/>
    <x v="0"/>
    <x v="2"/>
    <x v="0"/>
    <x v="3"/>
    <x v="0"/>
    <x v="6"/>
    <x v="2"/>
  </r>
  <r>
    <x v="1093"/>
    <x v="0"/>
    <x v="1"/>
    <n v="25.8"/>
    <x v="937"/>
    <x v="42"/>
    <d v="2025-02-26T00:00:00"/>
    <x v="1"/>
    <x v="2"/>
    <x v="0"/>
    <x v="0"/>
    <x v="3"/>
    <x v="12"/>
    <x v="6"/>
    <x v="1"/>
  </r>
  <r>
    <x v="1094"/>
    <x v="17"/>
    <x v="2"/>
    <n v="49.1"/>
    <x v="824"/>
    <x v="42"/>
    <d v="2025-02-14T00:00:00"/>
    <x v="2"/>
    <x v="0"/>
    <x v="0"/>
    <x v="0"/>
    <x v="24"/>
    <x v="1"/>
    <x v="6"/>
    <x v="2"/>
  </r>
  <r>
    <x v="1095"/>
    <x v="1"/>
    <x v="0"/>
    <n v="44.9"/>
    <x v="938"/>
    <x v="42"/>
    <d v="2025-02-15T00:00:00"/>
    <x v="2"/>
    <x v="3"/>
    <x v="2"/>
    <x v="0"/>
    <x v="6"/>
    <x v="2"/>
    <x v="6"/>
    <x v="2"/>
  </r>
  <r>
    <x v="1096"/>
    <x v="15"/>
    <x v="3"/>
    <n v="29.9"/>
    <x v="549"/>
    <x v="42"/>
    <d v="2025-02-13T00:00:00"/>
    <x v="2"/>
    <x v="0"/>
    <x v="0"/>
    <x v="0"/>
    <x v="6"/>
    <x v="3"/>
    <x v="6"/>
    <x v="2"/>
  </r>
  <r>
    <x v="1097"/>
    <x v="7"/>
    <x v="1"/>
    <n v="54.3"/>
    <x v="939"/>
    <x v="43"/>
    <d v="2025-02-14T00:00:00"/>
    <x v="1"/>
    <x v="3"/>
    <x v="0"/>
    <x v="0"/>
    <x v="36"/>
    <x v="3"/>
    <x v="6"/>
    <x v="1"/>
  </r>
  <r>
    <x v="1098"/>
    <x v="9"/>
    <x v="12"/>
    <n v="57"/>
    <x v="416"/>
    <x v="43"/>
    <d v="2025-02-15T00:00:00"/>
    <x v="2"/>
    <x v="0"/>
    <x v="0"/>
    <x v="0"/>
    <x v="8"/>
    <x v="1"/>
    <x v="6"/>
    <x v="2"/>
  </r>
  <r>
    <x v="1099"/>
    <x v="2"/>
    <x v="0"/>
    <n v="139.19999999999999"/>
    <x v="388"/>
    <x v="43"/>
    <d v="2025-02-14T00:00:00"/>
    <x v="2"/>
    <x v="3"/>
    <x v="2"/>
    <x v="0"/>
    <x v="8"/>
    <x v="3"/>
    <x v="6"/>
    <x v="2"/>
  </r>
  <r>
    <x v="1100"/>
    <x v="10"/>
    <x v="0"/>
    <n v="33"/>
    <x v="940"/>
    <x v="43"/>
    <d v="2025-02-16T00:00:00"/>
    <x v="2"/>
    <x v="0"/>
    <x v="2"/>
    <x v="0"/>
    <x v="8"/>
    <x v="2"/>
    <x v="6"/>
    <x v="2"/>
  </r>
  <r>
    <x v="1101"/>
    <x v="11"/>
    <x v="13"/>
    <n v="80.2"/>
    <x v="941"/>
    <x v="43"/>
    <d v="2025-02-15T00:00:00"/>
    <x v="1"/>
    <x v="1"/>
    <x v="4"/>
    <x v="0"/>
    <x v="8"/>
    <x v="1"/>
    <x v="6"/>
    <x v="1"/>
  </r>
  <r>
    <x v="1102"/>
    <x v="18"/>
    <x v="8"/>
    <n v="49"/>
    <x v="942"/>
    <x v="43"/>
    <d v="2025-02-14T00:00:00"/>
    <x v="0"/>
    <x v="2"/>
    <x v="1"/>
    <x v="0"/>
    <x v="9"/>
    <x v="3"/>
    <x v="6"/>
    <x v="0"/>
  </r>
  <r>
    <x v="1103"/>
    <x v="1"/>
    <x v="12"/>
    <n v="104.4"/>
    <x v="943"/>
    <x v="43"/>
    <d v="2025-02-13T00:00:00"/>
    <x v="2"/>
    <x v="0"/>
    <x v="0"/>
    <x v="0"/>
    <x v="9"/>
    <x v="7"/>
    <x v="6"/>
    <x v="2"/>
  </r>
  <r>
    <x v="1104"/>
    <x v="3"/>
    <x v="0"/>
    <n v="41.6"/>
    <x v="480"/>
    <x v="43"/>
    <d v="2025-02-16T00:00:00"/>
    <x v="1"/>
    <x v="3"/>
    <x v="0"/>
    <x v="0"/>
    <x v="11"/>
    <x v="2"/>
    <x v="6"/>
    <x v="1"/>
  </r>
  <r>
    <x v="1105"/>
    <x v="19"/>
    <x v="1"/>
    <n v="16.399999999999999"/>
    <x v="944"/>
    <x v="43"/>
    <d v="2025-02-14T00:00:00"/>
    <x v="3"/>
    <x v="0"/>
    <x v="2"/>
    <x v="0"/>
    <x v="11"/>
    <x v="3"/>
    <x v="6"/>
    <x v="3"/>
  </r>
  <r>
    <x v="1106"/>
    <x v="8"/>
    <x v="1"/>
    <n v="22"/>
    <x v="945"/>
    <x v="43"/>
    <d v="2025-02-14T00:00:00"/>
    <x v="1"/>
    <x v="2"/>
    <x v="2"/>
    <x v="0"/>
    <x v="53"/>
    <x v="3"/>
    <x v="6"/>
    <x v="1"/>
  </r>
  <r>
    <x v="1107"/>
    <x v="15"/>
    <x v="1"/>
    <n v="33.6"/>
    <x v="863"/>
    <x v="43"/>
    <d v="2025-02-18T00:00:00"/>
    <x v="2"/>
    <x v="0"/>
    <x v="0"/>
    <x v="0"/>
    <x v="21"/>
    <x v="0"/>
    <x v="6"/>
    <x v="2"/>
  </r>
  <r>
    <x v="1108"/>
    <x v="11"/>
    <x v="13"/>
    <n v="43"/>
    <x v="946"/>
    <x v="43"/>
    <d v="2025-02-14T00:00:00"/>
    <x v="2"/>
    <x v="2"/>
    <x v="0"/>
    <x v="0"/>
    <x v="21"/>
    <x v="3"/>
    <x v="6"/>
    <x v="2"/>
  </r>
  <r>
    <x v="1109"/>
    <x v="6"/>
    <x v="9"/>
    <n v="108.8"/>
    <x v="947"/>
    <x v="43"/>
    <d v="2025-02-16T00:00:00"/>
    <x v="2"/>
    <x v="4"/>
    <x v="2"/>
    <x v="0"/>
    <x v="21"/>
    <x v="2"/>
    <x v="6"/>
    <x v="2"/>
  </r>
  <r>
    <x v="1110"/>
    <x v="0"/>
    <x v="11"/>
    <n v="29.3"/>
    <x v="948"/>
    <x v="43"/>
    <d v="2025-02-15T00:00:00"/>
    <x v="1"/>
    <x v="4"/>
    <x v="2"/>
    <x v="0"/>
    <x v="21"/>
    <x v="1"/>
    <x v="6"/>
    <x v="1"/>
  </r>
  <r>
    <x v="1111"/>
    <x v="2"/>
    <x v="0"/>
    <n v="122.7"/>
    <x v="949"/>
    <x v="43"/>
    <d v="2025-02-16T00:00:00"/>
    <x v="3"/>
    <x v="0"/>
    <x v="2"/>
    <x v="0"/>
    <x v="1"/>
    <x v="2"/>
    <x v="6"/>
    <x v="3"/>
  </r>
  <r>
    <x v="1112"/>
    <x v="4"/>
    <x v="3"/>
    <n v="22.9"/>
    <x v="950"/>
    <x v="43"/>
    <d v="2025-02-14T00:00:00"/>
    <x v="2"/>
    <x v="0"/>
    <x v="0"/>
    <x v="0"/>
    <x v="42"/>
    <x v="3"/>
    <x v="6"/>
    <x v="2"/>
  </r>
  <r>
    <x v="1113"/>
    <x v="8"/>
    <x v="7"/>
    <n v="25.5"/>
    <x v="951"/>
    <x v="43"/>
    <d v="2025-02-20T00:00:00"/>
    <x v="2"/>
    <x v="0"/>
    <x v="0"/>
    <x v="0"/>
    <x v="33"/>
    <x v="6"/>
    <x v="6"/>
    <x v="2"/>
  </r>
  <r>
    <x v="1114"/>
    <x v="17"/>
    <x v="2"/>
    <n v="23.4"/>
    <x v="952"/>
    <x v="43"/>
    <d v="2025-02-17T00:00:00"/>
    <x v="2"/>
    <x v="0"/>
    <x v="2"/>
    <x v="0"/>
    <x v="3"/>
    <x v="5"/>
    <x v="6"/>
    <x v="2"/>
  </r>
  <r>
    <x v="1115"/>
    <x v="5"/>
    <x v="8"/>
    <n v="27.4"/>
    <x v="77"/>
    <x v="43"/>
    <d v="2025-02-16T00:00:00"/>
    <x v="2"/>
    <x v="2"/>
    <x v="0"/>
    <x v="0"/>
    <x v="3"/>
    <x v="2"/>
    <x v="6"/>
    <x v="2"/>
  </r>
  <r>
    <x v="1116"/>
    <x v="5"/>
    <x v="9"/>
    <n v="68.400000000000006"/>
    <x v="953"/>
    <x v="43"/>
    <d v="2025-02-14T00:00:00"/>
    <x v="2"/>
    <x v="0"/>
    <x v="0"/>
    <x v="0"/>
    <x v="3"/>
    <x v="3"/>
    <x v="6"/>
    <x v="2"/>
  </r>
  <r>
    <x v="1117"/>
    <x v="6"/>
    <x v="0"/>
    <n v="51.9"/>
    <x v="954"/>
    <x v="43"/>
    <d v="2025-02-13T00:00:00"/>
    <x v="2"/>
    <x v="0"/>
    <x v="0"/>
    <x v="0"/>
    <x v="3"/>
    <x v="7"/>
    <x v="6"/>
    <x v="2"/>
  </r>
  <r>
    <x v="1118"/>
    <x v="0"/>
    <x v="9"/>
    <n v="26.4"/>
    <x v="955"/>
    <x v="43"/>
    <d v="2025-02-16T00:00:00"/>
    <x v="2"/>
    <x v="0"/>
    <x v="2"/>
    <x v="0"/>
    <x v="3"/>
    <x v="2"/>
    <x v="6"/>
    <x v="2"/>
  </r>
  <r>
    <x v="1119"/>
    <x v="12"/>
    <x v="1"/>
    <n v="117"/>
    <x v="540"/>
    <x v="43"/>
    <d v="2025-02-14T00:00:00"/>
    <x v="2"/>
    <x v="1"/>
    <x v="1"/>
    <x v="0"/>
    <x v="3"/>
    <x v="3"/>
    <x v="6"/>
    <x v="2"/>
  </r>
  <r>
    <x v="1120"/>
    <x v="7"/>
    <x v="2"/>
    <n v="49.6"/>
    <x v="956"/>
    <x v="44"/>
    <d v="2025-02-16T00:00:00"/>
    <x v="2"/>
    <x v="0"/>
    <x v="0"/>
    <x v="0"/>
    <x v="3"/>
    <x v="1"/>
    <x v="6"/>
    <x v="2"/>
  </r>
  <r>
    <x v="1121"/>
    <x v="4"/>
    <x v="2"/>
    <n v="38"/>
    <x v="717"/>
    <x v="44"/>
    <d v="2025-02-17T00:00:00"/>
    <x v="1"/>
    <x v="2"/>
    <x v="4"/>
    <x v="0"/>
    <x v="3"/>
    <x v="2"/>
    <x v="6"/>
    <x v="1"/>
  </r>
  <r>
    <x v="1122"/>
    <x v="0"/>
    <x v="2"/>
    <n v="20.6"/>
    <x v="957"/>
    <x v="44"/>
    <d v="2025-02-16T00:00:00"/>
    <x v="2"/>
    <x v="4"/>
    <x v="2"/>
    <x v="0"/>
    <x v="3"/>
    <x v="1"/>
    <x v="6"/>
    <x v="2"/>
  </r>
  <r>
    <x v="1123"/>
    <x v="0"/>
    <x v="1"/>
    <n v="16"/>
    <x v="109"/>
    <x v="44"/>
    <d v="2025-02-15T00:00:00"/>
    <x v="1"/>
    <x v="1"/>
    <x v="1"/>
    <x v="0"/>
    <x v="49"/>
    <x v="3"/>
    <x v="6"/>
    <x v="1"/>
  </r>
  <r>
    <x v="1124"/>
    <x v="15"/>
    <x v="12"/>
    <n v="49.3"/>
    <x v="958"/>
    <x v="44"/>
    <d v="2025-02-15T00:00:00"/>
    <x v="2"/>
    <x v="2"/>
    <x v="0"/>
    <x v="0"/>
    <x v="23"/>
    <x v="3"/>
    <x v="6"/>
    <x v="2"/>
  </r>
  <r>
    <x v="1125"/>
    <x v="9"/>
    <x v="1"/>
    <n v="24.1"/>
    <x v="959"/>
    <x v="44"/>
    <d v="2025-02-18T00:00:00"/>
    <x v="2"/>
    <x v="0"/>
    <x v="0"/>
    <x v="0"/>
    <x v="6"/>
    <x v="5"/>
    <x v="6"/>
    <x v="2"/>
  </r>
  <r>
    <x v="1126"/>
    <x v="15"/>
    <x v="8"/>
    <n v="32.700000000000003"/>
    <x v="960"/>
    <x v="44"/>
    <d v="2025-02-15T00:00:00"/>
    <x v="2"/>
    <x v="1"/>
    <x v="0"/>
    <x v="0"/>
    <x v="6"/>
    <x v="3"/>
    <x v="6"/>
    <x v="2"/>
  </r>
  <r>
    <x v="1127"/>
    <x v="6"/>
    <x v="2"/>
    <n v="74.400000000000006"/>
    <x v="961"/>
    <x v="44"/>
    <d v="2025-02-15T00:00:00"/>
    <x v="2"/>
    <x v="3"/>
    <x v="2"/>
    <x v="0"/>
    <x v="8"/>
    <x v="3"/>
    <x v="6"/>
    <x v="2"/>
  </r>
  <r>
    <x v="1128"/>
    <x v="12"/>
    <x v="0"/>
    <n v="45.6"/>
    <x v="962"/>
    <x v="44"/>
    <d v="2025-02-18T00:00:00"/>
    <x v="2"/>
    <x v="4"/>
    <x v="0"/>
    <x v="0"/>
    <x v="8"/>
    <x v="5"/>
    <x v="6"/>
    <x v="2"/>
  </r>
  <r>
    <x v="1129"/>
    <x v="8"/>
    <x v="8"/>
    <n v="19.600000000000001"/>
    <x v="963"/>
    <x v="44"/>
    <d v="2025-02-27T00:00:00"/>
    <x v="2"/>
    <x v="0"/>
    <x v="0"/>
    <x v="0"/>
    <x v="8"/>
    <x v="10"/>
    <x v="6"/>
    <x v="2"/>
  </r>
  <r>
    <x v="1130"/>
    <x v="9"/>
    <x v="0"/>
    <n v="51.8"/>
    <x v="964"/>
    <x v="44"/>
    <d v="2025-02-15T00:00:00"/>
    <x v="2"/>
    <x v="1"/>
    <x v="0"/>
    <x v="0"/>
    <x v="8"/>
    <x v="3"/>
    <x v="6"/>
    <x v="2"/>
  </r>
  <r>
    <x v="1131"/>
    <x v="6"/>
    <x v="0"/>
    <n v="74.7"/>
    <x v="965"/>
    <x v="44"/>
    <d v="2025-02-15T00:00:00"/>
    <x v="1"/>
    <x v="0"/>
    <x v="1"/>
    <x v="0"/>
    <x v="8"/>
    <x v="3"/>
    <x v="6"/>
    <x v="1"/>
  </r>
  <r>
    <x v="1132"/>
    <x v="19"/>
    <x v="2"/>
    <n v="22.4"/>
    <x v="966"/>
    <x v="44"/>
    <d v="2025-02-15T00:00:00"/>
    <x v="2"/>
    <x v="1"/>
    <x v="2"/>
    <x v="0"/>
    <x v="9"/>
    <x v="3"/>
    <x v="6"/>
    <x v="2"/>
  </r>
  <r>
    <x v="1133"/>
    <x v="1"/>
    <x v="12"/>
    <n v="31.4"/>
    <x v="967"/>
    <x v="44"/>
    <d v="2025-02-15T00:00:00"/>
    <x v="2"/>
    <x v="1"/>
    <x v="0"/>
    <x v="0"/>
    <x v="9"/>
    <x v="3"/>
    <x v="6"/>
    <x v="2"/>
  </r>
  <r>
    <x v="1134"/>
    <x v="6"/>
    <x v="0"/>
    <n v="94"/>
    <x v="255"/>
    <x v="44"/>
    <d v="2025-02-14T00:00:00"/>
    <x v="2"/>
    <x v="1"/>
    <x v="2"/>
    <x v="0"/>
    <x v="10"/>
    <x v="7"/>
    <x v="6"/>
    <x v="2"/>
  </r>
  <r>
    <x v="1135"/>
    <x v="10"/>
    <x v="0"/>
    <n v="22.3"/>
    <x v="968"/>
    <x v="44"/>
    <d v="2025-02-15T00:00:00"/>
    <x v="1"/>
    <x v="4"/>
    <x v="0"/>
    <x v="0"/>
    <x v="20"/>
    <x v="3"/>
    <x v="6"/>
    <x v="1"/>
  </r>
  <r>
    <x v="1136"/>
    <x v="0"/>
    <x v="0"/>
    <n v="21.9"/>
    <x v="731"/>
    <x v="44"/>
    <d v="2025-02-17T00:00:00"/>
    <x v="2"/>
    <x v="2"/>
    <x v="0"/>
    <x v="0"/>
    <x v="21"/>
    <x v="2"/>
    <x v="6"/>
    <x v="2"/>
  </r>
  <r>
    <x v="1137"/>
    <x v="17"/>
    <x v="2"/>
    <n v="27"/>
    <x v="969"/>
    <x v="44"/>
    <d v="2025-02-16T00:00:00"/>
    <x v="2"/>
    <x v="4"/>
    <x v="2"/>
    <x v="0"/>
    <x v="2"/>
    <x v="1"/>
    <x v="6"/>
    <x v="2"/>
  </r>
  <r>
    <x v="1138"/>
    <x v="2"/>
    <x v="12"/>
    <n v="149.6"/>
    <x v="970"/>
    <x v="44"/>
    <d v="2025-02-14T00:00:00"/>
    <x v="2"/>
    <x v="4"/>
    <x v="0"/>
    <x v="0"/>
    <x v="22"/>
    <x v="7"/>
    <x v="6"/>
    <x v="2"/>
  </r>
  <r>
    <x v="1139"/>
    <x v="2"/>
    <x v="12"/>
    <n v="129.1"/>
    <x v="971"/>
    <x v="44"/>
    <d v="2025-02-24T00:00:00"/>
    <x v="1"/>
    <x v="0"/>
    <x v="1"/>
    <x v="0"/>
    <x v="3"/>
    <x v="14"/>
    <x v="6"/>
    <x v="1"/>
  </r>
  <r>
    <x v="1140"/>
    <x v="1"/>
    <x v="4"/>
    <n v="40.4"/>
    <x v="972"/>
    <x v="44"/>
    <d v="2025-02-15T00:00:00"/>
    <x v="1"/>
    <x v="1"/>
    <x v="1"/>
    <x v="0"/>
    <x v="3"/>
    <x v="3"/>
    <x v="6"/>
    <x v="1"/>
  </r>
  <r>
    <x v="1141"/>
    <x v="4"/>
    <x v="2"/>
    <n v="48.5"/>
    <x v="973"/>
    <x v="44"/>
    <d v="2025-02-16T00:00:00"/>
    <x v="2"/>
    <x v="0"/>
    <x v="4"/>
    <x v="0"/>
    <x v="3"/>
    <x v="1"/>
    <x v="6"/>
    <x v="2"/>
  </r>
  <r>
    <x v="1142"/>
    <x v="9"/>
    <x v="1"/>
    <n v="37.6"/>
    <x v="495"/>
    <x v="44"/>
    <d v="2025-02-16T00:00:00"/>
    <x v="2"/>
    <x v="1"/>
    <x v="2"/>
    <x v="0"/>
    <x v="3"/>
    <x v="1"/>
    <x v="6"/>
    <x v="2"/>
  </r>
  <r>
    <x v="1143"/>
    <x v="8"/>
    <x v="1"/>
    <n v="19.600000000000001"/>
    <x v="496"/>
    <x v="44"/>
    <d v="2025-02-15T00:00:00"/>
    <x v="1"/>
    <x v="3"/>
    <x v="4"/>
    <x v="0"/>
    <x v="43"/>
    <x v="3"/>
    <x v="6"/>
    <x v="1"/>
  </r>
  <r>
    <x v="1144"/>
    <x v="8"/>
    <x v="9"/>
    <n v="18.5"/>
    <x v="974"/>
    <x v="44"/>
    <d v="2025-02-15T00:00:00"/>
    <x v="2"/>
    <x v="2"/>
    <x v="1"/>
    <x v="0"/>
    <x v="6"/>
    <x v="3"/>
    <x v="6"/>
    <x v="2"/>
  </r>
  <r>
    <x v="1145"/>
    <x v="5"/>
    <x v="2"/>
    <n v="25.5"/>
    <x v="514"/>
    <x v="44"/>
    <d v="2025-02-16T00:00:00"/>
    <x v="2"/>
    <x v="4"/>
    <x v="1"/>
    <x v="0"/>
    <x v="6"/>
    <x v="1"/>
    <x v="6"/>
    <x v="2"/>
  </r>
  <r>
    <x v="1146"/>
    <x v="2"/>
    <x v="1"/>
    <n v="94.7"/>
    <x v="975"/>
    <x v="44"/>
    <d v="2025-02-15T00:00:00"/>
    <x v="2"/>
    <x v="2"/>
    <x v="0"/>
    <x v="0"/>
    <x v="36"/>
    <x v="3"/>
    <x v="6"/>
    <x v="2"/>
  </r>
  <r>
    <x v="1147"/>
    <x v="1"/>
    <x v="13"/>
    <n v="38.799999999999997"/>
    <x v="976"/>
    <x v="44"/>
    <d v="2025-02-19T00:00:00"/>
    <x v="2"/>
    <x v="2"/>
    <x v="2"/>
    <x v="0"/>
    <x v="8"/>
    <x v="0"/>
    <x v="6"/>
    <x v="2"/>
  </r>
  <r>
    <x v="1148"/>
    <x v="9"/>
    <x v="1"/>
    <n v="49.4"/>
    <x v="197"/>
    <x v="45"/>
    <d v="2025-02-23T00:00:00"/>
    <x v="1"/>
    <x v="4"/>
    <x v="1"/>
    <x v="0"/>
    <x v="8"/>
    <x v="9"/>
    <x v="6"/>
    <x v="1"/>
  </r>
  <r>
    <x v="1149"/>
    <x v="7"/>
    <x v="2"/>
    <n v="68"/>
    <x v="977"/>
    <x v="45"/>
    <d v="2025-02-18T00:00:00"/>
    <x v="1"/>
    <x v="0"/>
    <x v="2"/>
    <x v="0"/>
    <x v="8"/>
    <x v="2"/>
    <x v="6"/>
    <x v="1"/>
  </r>
  <r>
    <x v="1150"/>
    <x v="15"/>
    <x v="3"/>
    <n v="63.7"/>
    <x v="978"/>
    <x v="45"/>
    <d v="2025-02-16T00:00:00"/>
    <x v="2"/>
    <x v="2"/>
    <x v="2"/>
    <x v="0"/>
    <x v="8"/>
    <x v="3"/>
    <x v="6"/>
    <x v="2"/>
  </r>
  <r>
    <x v="1151"/>
    <x v="10"/>
    <x v="1"/>
    <n v="66.2"/>
    <x v="979"/>
    <x v="45"/>
    <d v="2025-02-16T00:00:00"/>
    <x v="2"/>
    <x v="4"/>
    <x v="2"/>
    <x v="0"/>
    <x v="17"/>
    <x v="3"/>
    <x v="6"/>
    <x v="2"/>
  </r>
  <r>
    <x v="1152"/>
    <x v="12"/>
    <x v="2"/>
    <n v="32.299999999999997"/>
    <x v="980"/>
    <x v="45"/>
    <d v="2025-02-16T00:00:00"/>
    <x v="3"/>
    <x v="2"/>
    <x v="1"/>
    <x v="0"/>
    <x v="9"/>
    <x v="3"/>
    <x v="6"/>
    <x v="3"/>
  </r>
  <r>
    <x v="1153"/>
    <x v="4"/>
    <x v="1"/>
    <n v="66.900000000000006"/>
    <x v="981"/>
    <x v="45"/>
    <d v="2025-02-18T00:00:00"/>
    <x v="1"/>
    <x v="1"/>
    <x v="0"/>
    <x v="0"/>
    <x v="11"/>
    <x v="2"/>
    <x v="6"/>
    <x v="1"/>
  </r>
  <r>
    <x v="1154"/>
    <x v="4"/>
    <x v="4"/>
    <n v="25.2"/>
    <x v="982"/>
    <x v="45"/>
    <d v="2025-02-19T00:00:00"/>
    <x v="2"/>
    <x v="0"/>
    <x v="1"/>
    <x v="0"/>
    <x v="11"/>
    <x v="5"/>
    <x v="6"/>
    <x v="2"/>
  </r>
  <r>
    <x v="1155"/>
    <x v="10"/>
    <x v="13"/>
    <n v="29.5"/>
    <x v="983"/>
    <x v="45"/>
    <d v="2025-02-16T00:00:00"/>
    <x v="1"/>
    <x v="2"/>
    <x v="0"/>
    <x v="0"/>
    <x v="11"/>
    <x v="3"/>
    <x v="6"/>
    <x v="1"/>
  </r>
  <r>
    <x v="1156"/>
    <x v="8"/>
    <x v="9"/>
    <n v="21.6"/>
    <x v="807"/>
    <x v="45"/>
    <d v="2025-02-17T00:00:00"/>
    <x v="2"/>
    <x v="0"/>
    <x v="2"/>
    <x v="0"/>
    <x v="32"/>
    <x v="1"/>
    <x v="6"/>
    <x v="2"/>
  </r>
  <r>
    <x v="1157"/>
    <x v="12"/>
    <x v="2"/>
    <n v="69"/>
    <x v="461"/>
    <x v="45"/>
    <d v="2025-02-16T00:00:00"/>
    <x v="2"/>
    <x v="0"/>
    <x v="0"/>
    <x v="0"/>
    <x v="18"/>
    <x v="3"/>
    <x v="6"/>
    <x v="2"/>
  </r>
  <r>
    <x v="1158"/>
    <x v="7"/>
    <x v="1"/>
    <n v="115"/>
    <x v="984"/>
    <x v="45"/>
    <d v="2025-02-19T00:00:00"/>
    <x v="1"/>
    <x v="0"/>
    <x v="2"/>
    <x v="0"/>
    <x v="18"/>
    <x v="5"/>
    <x v="6"/>
    <x v="1"/>
  </r>
  <r>
    <x v="1159"/>
    <x v="2"/>
    <x v="1"/>
    <n v="109.3"/>
    <x v="985"/>
    <x v="45"/>
    <d v="2025-02-17T00:00:00"/>
    <x v="0"/>
    <x v="3"/>
    <x v="1"/>
    <x v="0"/>
    <x v="19"/>
    <x v="1"/>
    <x v="6"/>
    <x v="0"/>
  </r>
  <r>
    <x v="1160"/>
    <x v="9"/>
    <x v="1"/>
    <n v="66.599999999999994"/>
    <x v="986"/>
    <x v="45"/>
    <d v="2025-02-18T00:00:00"/>
    <x v="0"/>
    <x v="4"/>
    <x v="1"/>
    <x v="0"/>
    <x v="19"/>
    <x v="2"/>
    <x v="6"/>
    <x v="0"/>
  </r>
  <r>
    <x v="1161"/>
    <x v="12"/>
    <x v="9"/>
    <n v="47.7"/>
    <x v="987"/>
    <x v="45"/>
    <d v="2025-02-16T00:00:00"/>
    <x v="1"/>
    <x v="3"/>
    <x v="2"/>
    <x v="0"/>
    <x v="21"/>
    <x v="3"/>
    <x v="6"/>
    <x v="1"/>
  </r>
  <r>
    <x v="1162"/>
    <x v="8"/>
    <x v="1"/>
    <n v="46"/>
    <x v="988"/>
    <x v="45"/>
    <d v="2025-02-16T00:00:00"/>
    <x v="2"/>
    <x v="4"/>
    <x v="4"/>
    <x v="0"/>
    <x v="22"/>
    <x v="3"/>
    <x v="6"/>
    <x v="2"/>
  </r>
  <r>
    <x v="1163"/>
    <x v="1"/>
    <x v="13"/>
    <n v="39.299999999999997"/>
    <x v="989"/>
    <x v="45"/>
    <d v="2025-02-17T00:00:00"/>
    <x v="1"/>
    <x v="3"/>
    <x v="2"/>
    <x v="0"/>
    <x v="3"/>
    <x v="1"/>
    <x v="6"/>
    <x v="1"/>
  </r>
  <r>
    <x v="1164"/>
    <x v="9"/>
    <x v="0"/>
    <n v="70.2"/>
    <x v="474"/>
    <x v="45"/>
    <d v="2025-02-16T00:00:00"/>
    <x v="2"/>
    <x v="0"/>
    <x v="4"/>
    <x v="0"/>
    <x v="3"/>
    <x v="3"/>
    <x v="6"/>
    <x v="2"/>
  </r>
  <r>
    <x v="1165"/>
    <x v="3"/>
    <x v="12"/>
    <n v="71.5"/>
    <x v="990"/>
    <x v="45"/>
    <d v="2025-02-15T00:00:00"/>
    <x v="2"/>
    <x v="1"/>
    <x v="2"/>
    <x v="0"/>
    <x v="3"/>
    <x v="7"/>
    <x v="6"/>
    <x v="2"/>
  </r>
  <r>
    <x v="1166"/>
    <x v="10"/>
    <x v="3"/>
    <n v="31"/>
    <x v="991"/>
    <x v="45"/>
    <d v="2025-02-22T00:00:00"/>
    <x v="2"/>
    <x v="3"/>
    <x v="2"/>
    <x v="0"/>
    <x v="3"/>
    <x v="6"/>
    <x v="6"/>
    <x v="2"/>
  </r>
  <r>
    <x v="1167"/>
    <x v="2"/>
    <x v="9"/>
    <n v="68.2"/>
    <x v="992"/>
    <x v="45"/>
    <d v="2025-02-20T00:00:00"/>
    <x v="2"/>
    <x v="0"/>
    <x v="2"/>
    <x v="0"/>
    <x v="3"/>
    <x v="0"/>
    <x v="6"/>
    <x v="2"/>
  </r>
  <r>
    <x v="1168"/>
    <x v="2"/>
    <x v="0"/>
    <n v="91.4"/>
    <x v="411"/>
    <x v="45"/>
    <d v="2025-02-19T00:00:00"/>
    <x v="2"/>
    <x v="1"/>
    <x v="2"/>
    <x v="0"/>
    <x v="6"/>
    <x v="5"/>
    <x v="6"/>
    <x v="2"/>
  </r>
  <r>
    <x v="1169"/>
    <x v="6"/>
    <x v="7"/>
    <n v="112.9"/>
    <x v="993"/>
    <x v="45"/>
    <d v="2025-02-16T00:00:00"/>
    <x v="2"/>
    <x v="0"/>
    <x v="0"/>
    <x v="0"/>
    <x v="6"/>
    <x v="3"/>
    <x v="6"/>
    <x v="2"/>
  </r>
  <r>
    <x v="1170"/>
    <x v="17"/>
    <x v="11"/>
    <n v="33.700000000000003"/>
    <x v="994"/>
    <x v="45"/>
    <d v="2025-02-16T00:00:00"/>
    <x v="2"/>
    <x v="1"/>
    <x v="2"/>
    <x v="0"/>
    <x v="8"/>
    <x v="3"/>
    <x v="6"/>
    <x v="2"/>
  </r>
  <r>
    <x v="1171"/>
    <x v="15"/>
    <x v="7"/>
    <n v="35.299999999999997"/>
    <x v="995"/>
    <x v="45"/>
    <d v="2025-02-17T00:00:00"/>
    <x v="1"/>
    <x v="2"/>
    <x v="0"/>
    <x v="0"/>
    <x v="8"/>
    <x v="1"/>
    <x v="6"/>
    <x v="1"/>
  </r>
  <r>
    <x v="1172"/>
    <x v="18"/>
    <x v="2"/>
    <n v="45.6"/>
    <x v="996"/>
    <x v="45"/>
    <d v="2025-02-19T00:00:00"/>
    <x v="1"/>
    <x v="3"/>
    <x v="0"/>
    <x v="0"/>
    <x v="8"/>
    <x v="5"/>
    <x v="6"/>
    <x v="1"/>
  </r>
  <r>
    <x v="1173"/>
    <x v="7"/>
    <x v="3"/>
    <n v="47.1"/>
    <x v="847"/>
    <x v="45"/>
    <d v="2025-02-16T00:00:00"/>
    <x v="2"/>
    <x v="4"/>
    <x v="2"/>
    <x v="0"/>
    <x v="9"/>
    <x v="3"/>
    <x v="6"/>
    <x v="2"/>
  </r>
  <r>
    <x v="1174"/>
    <x v="8"/>
    <x v="9"/>
    <n v="16.2"/>
    <x v="969"/>
    <x v="45"/>
    <d v="2025-02-17T00:00:00"/>
    <x v="2"/>
    <x v="3"/>
    <x v="2"/>
    <x v="0"/>
    <x v="19"/>
    <x v="1"/>
    <x v="6"/>
    <x v="2"/>
  </r>
  <r>
    <x v="1175"/>
    <x v="1"/>
    <x v="1"/>
    <n v="159.69999999999999"/>
    <x v="997"/>
    <x v="46"/>
    <d v="2025-02-17T00:00:00"/>
    <x v="1"/>
    <x v="4"/>
    <x v="0"/>
    <x v="0"/>
    <x v="13"/>
    <x v="3"/>
    <x v="7"/>
    <x v="1"/>
  </r>
  <r>
    <x v="1176"/>
    <x v="8"/>
    <x v="12"/>
    <n v="19"/>
    <x v="998"/>
    <x v="46"/>
    <d v="2025-02-23T00:00:00"/>
    <x v="2"/>
    <x v="2"/>
    <x v="2"/>
    <x v="0"/>
    <x v="21"/>
    <x v="6"/>
    <x v="7"/>
    <x v="2"/>
  </r>
  <r>
    <x v="1177"/>
    <x v="6"/>
    <x v="13"/>
    <n v="91.1"/>
    <x v="999"/>
    <x v="46"/>
    <d v="2025-02-25T00:00:00"/>
    <x v="2"/>
    <x v="4"/>
    <x v="0"/>
    <x v="0"/>
    <x v="21"/>
    <x v="8"/>
    <x v="7"/>
    <x v="2"/>
  </r>
  <r>
    <x v="1178"/>
    <x v="2"/>
    <x v="9"/>
    <n v="94.1"/>
    <x v="1000"/>
    <x v="46"/>
    <d v="2025-02-19T00:00:00"/>
    <x v="0"/>
    <x v="1"/>
    <x v="1"/>
    <x v="0"/>
    <x v="21"/>
    <x v="2"/>
    <x v="7"/>
    <x v="0"/>
  </r>
  <r>
    <x v="1179"/>
    <x v="9"/>
    <x v="11"/>
    <n v="21.1"/>
    <x v="1001"/>
    <x v="46"/>
    <d v="2025-02-17T00:00:00"/>
    <x v="2"/>
    <x v="4"/>
    <x v="2"/>
    <x v="0"/>
    <x v="51"/>
    <x v="3"/>
    <x v="7"/>
    <x v="2"/>
  </r>
  <r>
    <x v="1180"/>
    <x v="8"/>
    <x v="3"/>
    <n v="15.3"/>
    <x v="1002"/>
    <x v="46"/>
    <d v="2025-02-24T00:00:00"/>
    <x v="2"/>
    <x v="2"/>
    <x v="0"/>
    <x v="0"/>
    <x v="1"/>
    <x v="9"/>
    <x v="7"/>
    <x v="2"/>
  </r>
  <r>
    <x v="1181"/>
    <x v="15"/>
    <x v="12"/>
    <n v="21.3"/>
    <x v="464"/>
    <x v="46"/>
    <d v="2025-02-19T00:00:00"/>
    <x v="1"/>
    <x v="1"/>
    <x v="0"/>
    <x v="0"/>
    <x v="3"/>
    <x v="2"/>
    <x v="7"/>
    <x v="1"/>
  </r>
  <r>
    <x v="1182"/>
    <x v="0"/>
    <x v="1"/>
    <n v="23.2"/>
    <x v="434"/>
    <x v="46"/>
    <d v="2025-02-16T00:00:00"/>
    <x v="0"/>
    <x v="3"/>
    <x v="1"/>
    <x v="0"/>
    <x v="3"/>
    <x v="7"/>
    <x v="7"/>
    <x v="0"/>
  </r>
  <r>
    <x v="1183"/>
    <x v="4"/>
    <x v="2"/>
    <n v="25.7"/>
    <x v="1003"/>
    <x v="46"/>
    <d v="2025-02-17T00:00:00"/>
    <x v="1"/>
    <x v="4"/>
    <x v="0"/>
    <x v="0"/>
    <x v="3"/>
    <x v="3"/>
    <x v="7"/>
    <x v="1"/>
  </r>
  <r>
    <x v="1184"/>
    <x v="0"/>
    <x v="11"/>
    <n v="31.6"/>
    <x v="1004"/>
    <x v="46"/>
    <d v="2025-02-18T00:00:00"/>
    <x v="2"/>
    <x v="0"/>
    <x v="0"/>
    <x v="0"/>
    <x v="3"/>
    <x v="1"/>
    <x v="7"/>
    <x v="2"/>
  </r>
  <r>
    <x v="1185"/>
    <x v="6"/>
    <x v="0"/>
    <n v="64.2"/>
    <x v="1005"/>
    <x v="46"/>
    <d v="2025-02-21T00:00:00"/>
    <x v="1"/>
    <x v="0"/>
    <x v="0"/>
    <x v="0"/>
    <x v="3"/>
    <x v="0"/>
    <x v="7"/>
    <x v="1"/>
  </r>
  <r>
    <x v="1186"/>
    <x v="8"/>
    <x v="1"/>
    <n v="55.8"/>
    <x v="1006"/>
    <x v="46"/>
    <d v="2025-02-18T00:00:00"/>
    <x v="0"/>
    <x v="0"/>
    <x v="0"/>
    <x v="0"/>
    <x v="3"/>
    <x v="1"/>
    <x v="7"/>
    <x v="0"/>
  </r>
  <r>
    <x v="1187"/>
    <x v="8"/>
    <x v="1"/>
    <n v="28.1"/>
    <x v="1007"/>
    <x v="46"/>
    <d v="2025-02-17T00:00:00"/>
    <x v="2"/>
    <x v="4"/>
    <x v="1"/>
    <x v="0"/>
    <x v="3"/>
    <x v="3"/>
    <x v="7"/>
    <x v="2"/>
  </r>
  <r>
    <x v="1188"/>
    <x v="0"/>
    <x v="1"/>
    <n v="11.6"/>
    <x v="772"/>
    <x v="46"/>
    <d v="2025-02-18T00:00:00"/>
    <x v="2"/>
    <x v="1"/>
    <x v="0"/>
    <x v="0"/>
    <x v="24"/>
    <x v="1"/>
    <x v="7"/>
    <x v="2"/>
  </r>
  <r>
    <x v="1189"/>
    <x v="5"/>
    <x v="2"/>
    <n v="50.4"/>
    <x v="277"/>
    <x v="46"/>
    <d v="2025-02-17T00:00:00"/>
    <x v="1"/>
    <x v="4"/>
    <x v="2"/>
    <x v="0"/>
    <x v="25"/>
    <x v="3"/>
    <x v="7"/>
    <x v="1"/>
  </r>
  <r>
    <x v="1190"/>
    <x v="6"/>
    <x v="13"/>
    <n v="48.3"/>
    <x v="1008"/>
    <x v="46"/>
    <d v="2025-02-20T00:00:00"/>
    <x v="2"/>
    <x v="0"/>
    <x v="0"/>
    <x v="0"/>
    <x v="25"/>
    <x v="5"/>
    <x v="7"/>
    <x v="2"/>
  </r>
  <r>
    <x v="1191"/>
    <x v="17"/>
    <x v="3"/>
    <n v="32.200000000000003"/>
    <x v="1009"/>
    <x v="46"/>
    <d v="2025-02-18T00:00:00"/>
    <x v="2"/>
    <x v="2"/>
    <x v="0"/>
    <x v="0"/>
    <x v="25"/>
    <x v="1"/>
    <x v="7"/>
    <x v="2"/>
  </r>
  <r>
    <x v="1192"/>
    <x v="7"/>
    <x v="31"/>
    <n v="48.5"/>
    <x v="1010"/>
    <x v="46"/>
    <d v="2025-02-17T00:00:00"/>
    <x v="1"/>
    <x v="0"/>
    <x v="0"/>
    <x v="0"/>
    <x v="5"/>
    <x v="3"/>
    <x v="7"/>
    <x v="1"/>
  </r>
  <r>
    <x v="1193"/>
    <x v="2"/>
    <x v="9"/>
    <n v="62"/>
    <x v="892"/>
    <x v="46"/>
    <d v="2025-02-19T00:00:00"/>
    <x v="2"/>
    <x v="1"/>
    <x v="0"/>
    <x v="0"/>
    <x v="6"/>
    <x v="2"/>
    <x v="7"/>
    <x v="2"/>
  </r>
  <r>
    <x v="1194"/>
    <x v="8"/>
    <x v="2"/>
    <n v="32.1"/>
    <x v="219"/>
    <x v="47"/>
    <d v="2025-02-19T00:00:00"/>
    <x v="1"/>
    <x v="0"/>
    <x v="0"/>
    <x v="0"/>
    <x v="6"/>
    <x v="1"/>
    <x v="7"/>
    <x v="1"/>
  </r>
  <r>
    <x v="1195"/>
    <x v="12"/>
    <x v="2"/>
    <n v="106.1"/>
    <x v="1011"/>
    <x v="47"/>
    <d v="2025-02-19T00:00:00"/>
    <x v="1"/>
    <x v="0"/>
    <x v="1"/>
    <x v="0"/>
    <x v="7"/>
    <x v="1"/>
    <x v="7"/>
    <x v="1"/>
  </r>
  <r>
    <x v="1196"/>
    <x v="10"/>
    <x v="2"/>
    <n v="23.5"/>
    <x v="1012"/>
    <x v="47"/>
    <d v="2025-02-20T00:00:00"/>
    <x v="1"/>
    <x v="0"/>
    <x v="4"/>
    <x v="0"/>
    <x v="7"/>
    <x v="2"/>
    <x v="7"/>
    <x v="1"/>
  </r>
  <r>
    <x v="1197"/>
    <x v="1"/>
    <x v="1"/>
    <n v="35.6"/>
    <x v="1013"/>
    <x v="47"/>
    <d v="2025-02-22T00:00:00"/>
    <x v="1"/>
    <x v="4"/>
    <x v="0"/>
    <x v="0"/>
    <x v="8"/>
    <x v="0"/>
    <x v="7"/>
    <x v="1"/>
  </r>
  <r>
    <x v="1198"/>
    <x v="1"/>
    <x v="1"/>
    <n v="63.5"/>
    <x v="520"/>
    <x v="47"/>
    <d v="2025-02-17T00:00:00"/>
    <x v="2"/>
    <x v="1"/>
    <x v="2"/>
    <x v="0"/>
    <x v="8"/>
    <x v="7"/>
    <x v="7"/>
    <x v="2"/>
  </r>
  <r>
    <x v="1199"/>
    <x v="6"/>
    <x v="3"/>
    <n v="82.9"/>
    <x v="1014"/>
    <x v="47"/>
    <d v="2025-02-22T00:00:00"/>
    <x v="2"/>
    <x v="4"/>
    <x v="0"/>
    <x v="0"/>
    <x v="9"/>
    <x v="0"/>
    <x v="7"/>
    <x v="2"/>
  </r>
  <r>
    <x v="1200"/>
    <x v="6"/>
    <x v="1"/>
    <n v="83.6"/>
    <x v="762"/>
    <x v="47"/>
    <d v="2025-02-22T00:00:00"/>
    <x v="2"/>
    <x v="0"/>
    <x v="0"/>
    <x v="0"/>
    <x v="11"/>
    <x v="0"/>
    <x v="7"/>
    <x v="2"/>
  </r>
  <r>
    <x v="1201"/>
    <x v="4"/>
    <x v="1"/>
    <n v="29.4"/>
    <x v="572"/>
    <x v="47"/>
    <d v="2025-02-17T00:00:00"/>
    <x v="2"/>
    <x v="0"/>
    <x v="1"/>
    <x v="0"/>
    <x v="30"/>
    <x v="7"/>
    <x v="7"/>
    <x v="2"/>
  </r>
  <r>
    <x v="1202"/>
    <x v="2"/>
    <x v="2"/>
    <n v="107.1"/>
    <x v="1015"/>
    <x v="47"/>
    <d v="2025-02-21T00:00:00"/>
    <x v="2"/>
    <x v="2"/>
    <x v="0"/>
    <x v="0"/>
    <x v="20"/>
    <x v="5"/>
    <x v="7"/>
    <x v="2"/>
  </r>
  <r>
    <x v="1203"/>
    <x v="2"/>
    <x v="0"/>
    <n v="62.7"/>
    <x v="1016"/>
    <x v="47"/>
    <d v="2025-02-21T00:00:00"/>
    <x v="1"/>
    <x v="1"/>
    <x v="0"/>
    <x v="0"/>
    <x v="21"/>
    <x v="5"/>
    <x v="7"/>
    <x v="1"/>
  </r>
  <r>
    <x v="1204"/>
    <x v="11"/>
    <x v="0"/>
    <n v="41.6"/>
    <x v="480"/>
    <x v="47"/>
    <d v="2025-02-18T00:00:00"/>
    <x v="1"/>
    <x v="0"/>
    <x v="1"/>
    <x v="0"/>
    <x v="1"/>
    <x v="3"/>
    <x v="7"/>
    <x v="1"/>
  </r>
  <r>
    <x v="1205"/>
    <x v="6"/>
    <x v="0"/>
    <n v="44.2"/>
    <x v="573"/>
    <x v="47"/>
    <d v="2025-02-18T00:00:00"/>
    <x v="3"/>
    <x v="0"/>
    <x v="1"/>
    <x v="0"/>
    <x v="1"/>
    <x v="3"/>
    <x v="7"/>
    <x v="3"/>
  </r>
  <r>
    <x v="1206"/>
    <x v="4"/>
    <x v="13"/>
    <n v="40.4"/>
    <x v="1017"/>
    <x v="47"/>
    <d v="2025-03-02T00:00:00"/>
    <x v="2"/>
    <x v="2"/>
    <x v="0"/>
    <x v="0"/>
    <x v="22"/>
    <x v="10"/>
    <x v="7"/>
    <x v="2"/>
  </r>
  <r>
    <x v="1207"/>
    <x v="15"/>
    <x v="13"/>
    <n v="59.6"/>
    <x v="1018"/>
    <x v="47"/>
    <d v="2025-02-18T00:00:00"/>
    <x v="2"/>
    <x v="4"/>
    <x v="0"/>
    <x v="0"/>
    <x v="34"/>
    <x v="3"/>
    <x v="7"/>
    <x v="2"/>
  </r>
  <r>
    <x v="1208"/>
    <x v="17"/>
    <x v="4"/>
    <n v="63.8"/>
    <x v="1019"/>
    <x v="47"/>
    <d v="2025-02-18T00:00:00"/>
    <x v="1"/>
    <x v="1"/>
    <x v="0"/>
    <x v="0"/>
    <x v="3"/>
    <x v="3"/>
    <x v="7"/>
    <x v="1"/>
  </r>
  <r>
    <x v="1209"/>
    <x v="9"/>
    <x v="13"/>
    <n v="30.8"/>
    <x v="827"/>
    <x v="47"/>
    <d v="2025-02-19T00:00:00"/>
    <x v="1"/>
    <x v="4"/>
    <x v="0"/>
    <x v="0"/>
    <x v="3"/>
    <x v="1"/>
    <x v="7"/>
    <x v="1"/>
  </r>
  <r>
    <x v="1210"/>
    <x v="1"/>
    <x v="1"/>
    <n v="41.5"/>
    <x v="470"/>
    <x v="47"/>
    <d v="2025-02-20T00:00:00"/>
    <x v="3"/>
    <x v="0"/>
    <x v="0"/>
    <x v="0"/>
    <x v="3"/>
    <x v="2"/>
    <x v="7"/>
    <x v="3"/>
  </r>
  <r>
    <x v="1211"/>
    <x v="10"/>
    <x v="12"/>
    <n v="44.7"/>
    <x v="1020"/>
    <x v="47"/>
    <d v="2025-02-19T00:00:00"/>
    <x v="2"/>
    <x v="2"/>
    <x v="1"/>
    <x v="0"/>
    <x v="3"/>
    <x v="1"/>
    <x v="7"/>
    <x v="2"/>
  </r>
  <r>
    <x v="1212"/>
    <x v="12"/>
    <x v="1"/>
    <n v="64.099999999999994"/>
    <x v="618"/>
    <x v="47"/>
    <d v="2025-02-21T00:00:00"/>
    <x v="2"/>
    <x v="1"/>
    <x v="4"/>
    <x v="0"/>
    <x v="3"/>
    <x v="5"/>
    <x v="7"/>
    <x v="2"/>
  </r>
  <r>
    <x v="1213"/>
    <x v="8"/>
    <x v="0"/>
    <n v="15.9"/>
    <x v="1021"/>
    <x v="47"/>
    <d v="2025-02-20T00:00:00"/>
    <x v="0"/>
    <x v="1"/>
    <x v="0"/>
    <x v="0"/>
    <x v="3"/>
    <x v="2"/>
    <x v="7"/>
    <x v="0"/>
  </r>
  <r>
    <x v="1214"/>
    <x v="6"/>
    <x v="1"/>
    <n v="78.7"/>
    <x v="1022"/>
    <x v="47"/>
    <d v="2025-02-17T00:00:00"/>
    <x v="2"/>
    <x v="2"/>
    <x v="1"/>
    <x v="0"/>
    <x v="3"/>
    <x v="7"/>
    <x v="7"/>
    <x v="2"/>
  </r>
  <r>
    <x v="1215"/>
    <x v="5"/>
    <x v="4"/>
    <n v="29.6"/>
    <x v="1023"/>
    <x v="47"/>
    <d v="2025-02-21T00:00:00"/>
    <x v="1"/>
    <x v="2"/>
    <x v="4"/>
    <x v="0"/>
    <x v="3"/>
    <x v="5"/>
    <x v="7"/>
    <x v="1"/>
  </r>
  <r>
    <x v="1216"/>
    <x v="8"/>
    <x v="12"/>
    <n v="21.5"/>
    <x v="1024"/>
    <x v="47"/>
    <d v="2025-02-20T00:00:00"/>
    <x v="1"/>
    <x v="1"/>
    <x v="0"/>
    <x v="0"/>
    <x v="3"/>
    <x v="2"/>
    <x v="7"/>
    <x v="1"/>
  </r>
  <r>
    <x v="1217"/>
    <x v="9"/>
    <x v="2"/>
    <n v="74.900000000000006"/>
    <x v="890"/>
    <x v="47"/>
    <d v="2025-02-26T00:00:00"/>
    <x v="1"/>
    <x v="3"/>
    <x v="1"/>
    <x v="0"/>
    <x v="3"/>
    <x v="8"/>
    <x v="7"/>
    <x v="1"/>
  </r>
  <r>
    <x v="1218"/>
    <x v="10"/>
    <x v="13"/>
    <n v="45"/>
    <x v="843"/>
    <x v="47"/>
    <d v="2025-02-22T00:00:00"/>
    <x v="2"/>
    <x v="2"/>
    <x v="0"/>
    <x v="0"/>
    <x v="3"/>
    <x v="0"/>
    <x v="7"/>
    <x v="2"/>
  </r>
  <r>
    <x v="1219"/>
    <x v="7"/>
    <x v="33"/>
    <n v="37.9"/>
    <x v="1025"/>
    <x v="47"/>
    <d v="2025-02-18T00:00:00"/>
    <x v="1"/>
    <x v="0"/>
    <x v="0"/>
    <x v="0"/>
    <x v="3"/>
    <x v="3"/>
    <x v="7"/>
    <x v="1"/>
  </r>
  <r>
    <x v="1220"/>
    <x v="6"/>
    <x v="2"/>
    <n v="56.6"/>
    <x v="1026"/>
    <x v="47"/>
    <d v="2025-02-18T00:00:00"/>
    <x v="1"/>
    <x v="3"/>
    <x v="0"/>
    <x v="0"/>
    <x v="3"/>
    <x v="3"/>
    <x v="7"/>
    <x v="1"/>
  </r>
  <r>
    <x v="1221"/>
    <x v="3"/>
    <x v="15"/>
    <n v="84.5"/>
    <x v="1027"/>
    <x v="47"/>
    <d v="2025-02-20T00:00:00"/>
    <x v="2"/>
    <x v="1"/>
    <x v="4"/>
    <x v="0"/>
    <x v="3"/>
    <x v="2"/>
    <x v="7"/>
    <x v="2"/>
  </r>
  <r>
    <x v="1222"/>
    <x v="2"/>
    <x v="9"/>
    <n v="105.4"/>
    <x v="1028"/>
    <x v="47"/>
    <d v="2025-02-19T00:00:00"/>
    <x v="2"/>
    <x v="1"/>
    <x v="1"/>
    <x v="0"/>
    <x v="3"/>
    <x v="1"/>
    <x v="7"/>
    <x v="2"/>
  </r>
  <r>
    <x v="1223"/>
    <x v="18"/>
    <x v="3"/>
    <n v="39.4"/>
    <x v="1029"/>
    <x v="48"/>
    <d v="2025-02-18T00:00:00"/>
    <x v="1"/>
    <x v="1"/>
    <x v="0"/>
    <x v="0"/>
    <x v="37"/>
    <x v="7"/>
    <x v="7"/>
    <x v="1"/>
  </r>
  <r>
    <x v="1224"/>
    <x v="19"/>
    <x v="2"/>
    <n v="38"/>
    <x v="717"/>
    <x v="48"/>
    <d v="2025-02-21T00:00:00"/>
    <x v="1"/>
    <x v="4"/>
    <x v="1"/>
    <x v="0"/>
    <x v="6"/>
    <x v="2"/>
    <x v="7"/>
    <x v="1"/>
  </r>
  <r>
    <x v="1225"/>
    <x v="17"/>
    <x v="12"/>
    <n v="42.5"/>
    <x v="393"/>
    <x v="48"/>
    <d v="2025-02-20T00:00:00"/>
    <x v="0"/>
    <x v="0"/>
    <x v="0"/>
    <x v="0"/>
    <x v="6"/>
    <x v="1"/>
    <x v="7"/>
    <x v="0"/>
  </r>
  <r>
    <x v="1226"/>
    <x v="15"/>
    <x v="0"/>
    <n v="62.3"/>
    <x v="1030"/>
    <x v="48"/>
    <d v="2025-02-27T00:00:00"/>
    <x v="1"/>
    <x v="0"/>
    <x v="2"/>
    <x v="0"/>
    <x v="6"/>
    <x v="8"/>
    <x v="7"/>
    <x v="1"/>
  </r>
  <r>
    <x v="1227"/>
    <x v="6"/>
    <x v="9"/>
    <n v="49.1"/>
    <x v="1031"/>
    <x v="48"/>
    <d v="2025-02-20T00:00:00"/>
    <x v="2"/>
    <x v="1"/>
    <x v="2"/>
    <x v="0"/>
    <x v="7"/>
    <x v="1"/>
    <x v="7"/>
    <x v="2"/>
  </r>
  <r>
    <x v="1228"/>
    <x v="3"/>
    <x v="1"/>
    <n v="30.5"/>
    <x v="170"/>
    <x v="48"/>
    <d v="2025-02-21T00:00:00"/>
    <x v="1"/>
    <x v="0"/>
    <x v="2"/>
    <x v="0"/>
    <x v="8"/>
    <x v="2"/>
    <x v="7"/>
    <x v="1"/>
  </r>
  <r>
    <x v="1229"/>
    <x v="2"/>
    <x v="1"/>
    <n v="154.80000000000001"/>
    <x v="141"/>
    <x v="48"/>
    <d v="2025-02-21T00:00:00"/>
    <x v="2"/>
    <x v="1"/>
    <x v="4"/>
    <x v="0"/>
    <x v="8"/>
    <x v="2"/>
    <x v="7"/>
    <x v="2"/>
  </r>
  <r>
    <x v="1230"/>
    <x v="6"/>
    <x v="0"/>
    <n v="45"/>
    <x v="583"/>
    <x v="48"/>
    <d v="2025-02-22T00:00:00"/>
    <x v="1"/>
    <x v="3"/>
    <x v="1"/>
    <x v="0"/>
    <x v="8"/>
    <x v="5"/>
    <x v="7"/>
    <x v="1"/>
  </r>
  <r>
    <x v="1231"/>
    <x v="0"/>
    <x v="3"/>
    <n v="15.3"/>
    <x v="1002"/>
    <x v="48"/>
    <d v="2025-02-19T00:00:00"/>
    <x v="1"/>
    <x v="0"/>
    <x v="2"/>
    <x v="0"/>
    <x v="8"/>
    <x v="3"/>
    <x v="7"/>
    <x v="1"/>
  </r>
  <r>
    <x v="1232"/>
    <x v="2"/>
    <x v="5"/>
    <n v="88.6"/>
    <x v="1032"/>
    <x v="48"/>
    <d v="2025-02-21T00:00:00"/>
    <x v="2"/>
    <x v="0"/>
    <x v="4"/>
    <x v="0"/>
    <x v="17"/>
    <x v="2"/>
    <x v="7"/>
    <x v="2"/>
  </r>
  <r>
    <x v="1233"/>
    <x v="9"/>
    <x v="1"/>
    <n v="49.7"/>
    <x v="1033"/>
    <x v="48"/>
    <d v="2025-02-20T00:00:00"/>
    <x v="3"/>
    <x v="4"/>
    <x v="0"/>
    <x v="0"/>
    <x v="10"/>
    <x v="1"/>
    <x v="7"/>
    <x v="3"/>
  </r>
  <r>
    <x v="1234"/>
    <x v="10"/>
    <x v="0"/>
    <n v="29"/>
    <x v="1034"/>
    <x v="48"/>
    <d v="2025-02-19T00:00:00"/>
    <x v="1"/>
    <x v="0"/>
    <x v="0"/>
    <x v="0"/>
    <x v="11"/>
    <x v="3"/>
    <x v="7"/>
    <x v="1"/>
  </r>
  <r>
    <x v="1235"/>
    <x v="1"/>
    <x v="0"/>
    <n v="60.7"/>
    <x v="1035"/>
    <x v="48"/>
    <d v="2025-02-19T00:00:00"/>
    <x v="3"/>
    <x v="0"/>
    <x v="1"/>
    <x v="0"/>
    <x v="11"/>
    <x v="3"/>
    <x v="7"/>
    <x v="3"/>
  </r>
  <r>
    <x v="1236"/>
    <x v="17"/>
    <x v="12"/>
    <n v="87.4"/>
    <x v="1036"/>
    <x v="48"/>
    <d v="2025-02-20T00:00:00"/>
    <x v="0"/>
    <x v="0"/>
    <x v="0"/>
    <x v="0"/>
    <x v="11"/>
    <x v="1"/>
    <x v="7"/>
    <x v="0"/>
  </r>
  <r>
    <x v="1237"/>
    <x v="4"/>
    <x v="3"/>
    <n v="44.5"/>
    <x v="1037"/>
    <x v="48"/>
    <d v="2025-02-22T00:00:00"/>
    <x v="2"/>
    <x v="2"/>
    <x v="2"/>
    <x v="0"/>
    <x v="19"/>
    <x v="5"/>
    <x v="7"/>
    <x v="2"/>
  </r>
  <r>
    <x v="1238"/>
    <x v="2"/>
    <x v="0"/>
    <n v="141"/>
    <x v="1038"/>
    <x v="48"/>
    <d v="2025-02-19T00:00:00"/>
    <x v="1"/>
    <x v="4"/>
    <x v="2"/>
    <x v="0"/>
    <x v="19"/>
    <x v="3"/>
    <x v="7"/>
    <x v="1"/>
  </r>
  <r>
    <x v="1239"/>
    <x v="0"/>
    <x v="2"/>
    <n v="16.7"/>
    <x v="1039"/>
    <x v="48"/>
    <d v="2025-02-26T00:00:00"/>
    <x v="2"/>
    <x v="0"/>
    <x v="0"/>
    <x v="0"/>
    <x v="20"/>
    <x v="9"/>
    <x v="7"/>
    <x v="2"/>
  </r>
  <r>
    <x v="1240"/>
    <x v="1"/>
    <x v="1"/>
    <n v="77.5"/>
    <x v="1040"/>
    <x v="48"/>
    <d v="2025-02-19T00:00:00"/>
    <x v="0"/>
    <x v="2"/>
    <x v="2"/>
    <x v="0"/>
    <x v="13"/>
    <x v="3"/>
    <x v="7"/>
    <x v="0"/>
  </r>
  <r>
    <x v="1241"/>
    <x v="2"/>
    <x v="1"/>
    <n v="163"/>
    <x v="1041"/>
    <x v="48"/>
    <d v="2025-02-24T00:00:00"/>
    <x v="2"/>
    <x v="4"/>
    <x v="0"/>
    <x v="0"/>
    <x v="21"/>
    <x v="4"/>
    <x v="7"/>
    <x v="2"/>
  </r>
  <r>
    <x v="1242"/>
    <x v="4"/>
    <x v="11"/>
    <n v="21.4"/>
    <x v="1042"/>
    <x v="48"/>
    <d v="2025-02-21T00:00:00"/>
    <x v="2"/>
    <x v="0"/>
    <x v="0"/>
    <x v="0"/>
    <x v="51"/>
    <x v="2"/>
    <x v="7"/>
    <x v="2"/>
  </r>
  <r>
    <x v="1243"/>
    <x v="10"/>
    <x v="5"/>
    <n v="31"/>
    <x v="992"/>
    <x v="48"/>
    <d v="2025-02-20T00:00:00"/>
    <x v="2"/>
    <x v="3"/>
    <x v="2"/>
    <x v="0"/>
    <x v="1"/>
    <x v="1"/>
    <x v="7"/>
    <x v="2"/>
  </r>
  <r>
    <x v="1244"/>
    <x v="7"/>
    <x v="1"/>
    <n v="34.299999999999997"/>
    <x v="1043"/>
    <x v="48"/>
    <d v="2025-02-20T00:00:00"/>
    <x v="2"/>
    <x v="0"/>
    <x v="3"/>
    <x v="0"/>
    <x v="1"/>
    <x v="1"/>
    <x v="7"/>
    <x v="2"/>
  </r>
  <r>
    <x v="1245"/>
    <x v="17"/>
    <x v="9"/>
    <n v="48.2"/>
    <x v="1044"/>
    <x v="48"/>
    <d v="2025-02-19T00:00:00"/>
    <x v="1"/>
    <x v="1"/>
    <x v="1"/>
    <x v="0"/>
    <x v="2"/>
    <x v="3"/>
    <x v="7"/>
    <x v="1"/>
  </r>
  <r>
    <x v="1246"/>
    <x v="10"/>
    <x v="0"/>
    <n v="51.4"/>
    <x v="1045"/>
    <x v="48"/>
    <d v="2025-02-19T00:00:00"/>
    <x v="1"/>
    <x v="0"/>
    <x v="0"/>
    <x v="0"/>
    <x v="3"/>
    <x v="3"/>
    <x v="7"/>
    <x v="1"/>
  </r>
  <r>
    <x v="1247"/>
    <x v="2"/>
    <x v="9"/>
    <n v="117.2"/>
    <x v="1046"/>
    <x v="48"/>
    <d v="2025-02-21T00:00:00"/>
    <x v="2"/>
    <x v="4"/>
    <x v="4"/>
    <x v="0"/>
    <x v="3"/>
    <x v="2"/>
    <x v="7"/>
    <x v="2"/>
  </r>
  <r>
    <x v="1248"/>
    <x v="8"/>
    <x v="0"/>
    <n v="38.1"/>
    <x v="220"/>
    <x v="48"/>
    <d v="2025-02-18T00:00:00"/>
    <x v="1"/>
    <x v="4"/>
    <x v="1"/>
    <x v="0"/>
    <x v="3"/>
    <x v="7"/>
    <x v="7"/>
    <x v="1"/>
  </r>
  <r>
    <x v="1249"/>
    <x v="0"/>
    <x v="1"/>
    <n v="44.1"/>
    <x v="1047"/>
    <x v="48"/>
    <d v="2025-02-20T00:00:00"/>
    <x v="2"/>
    <x v="2"/>
    <x v="0"/>
    <x v="0"/>
    <x v="3"/>
    <x v="1"/>
    <x v="7"/>
    <x v="2"/>
  </r>
  <r>
    <x v="1250"/>
    <x v="15"/>
    <x v="12"/>
    <n v="80.5"/>
    <x v="310"/>
    <x v="48"/>
    <d v="2025-02-23T00:00:00"/>
    <x v="1"/>
    <x v="0"/>
    <x v="0"/>
    <x v="0"/>
    <x v="3"/>
    <x v="0"/>
    <x v="7"/>
    <x v="1"/>
  </r>
  <r>
    <x v="1251"/>
    <x v="18"/>
    <x v="12"/>
    <n v="33.6"/>
    <x v="1048"/>
    <x v="48"/>
    <d v="2025-02-23T00:00:00"/>
    <x v="0"/>
    <x v="0"/>
    <x v="2"/>
    <x v="0"/>
    <x v="3"/>
    <x v="0"/>
    <x v="7"/>
    <x v="0"/>
  </r>
  <r>
    <x v="1252"/>
    <x v="9"/>
    <x v="11"/>
    <n v="41.8"/>
    <x v="82"/>
    <x v="48"/>
    <d v="2025-02-19T00:00:00"/>
    <x v="2"/>
    <x v="0"/>
    <x v="1"/>
    <x v="0"/>
    <x v="3"/>
    <x v="3"/>
    <x v="7"/>
    <x v="2"/>
  </r>
  <r>
    <x v="1253"/>
    <x v="1"/>
    <x v="1"/>
    <n v="106.2"/>
    <x v="230"/>
    <x v="48"/>
    <d v="2025-02-18T00:00:00"/>
    <x v="2"/>
    <x v="4"/>
    <x v="2"/>
    <x v="0"/>
    <x v="3"/>
    <x v="7"/>
    <x v="7"/>
    <x v="2"/>
  </r>
  <r>
    <x v="1254"/>
    <x v="1"/>
    <x v="1"/>
    <n v="52.6"/>
    <x v="1049"/>
    <x v="48"/>
    <d v="2025-02-19T00:00:00"/>
    <x v="2"/>
    <x v="0"/>
    <x v="2"/>
    <x v="0"/>
    <x v="5"/>
    <x v="3"/>
    <x v="7"/>
    <x v="2"/>
  </r>
  <r>
    <x v="1255"/>
    <x v="11"/>
    <x v="3"/>
    <n v="68.5"/>
    <x v="1050"/>
    <x v="48"/>
    <d v="2025-02-19T00:00:00"/>
    <x v="2"/>
    <x v="1"/>
    <x v="0"/>
    <x v="0"/>
    <x v="5"/>
    <x v="3"/>
    <x v="7"/>
    <x v="2"/>
  </r>
  <r>
    <x v="1256"/>
    <x v="1"/>
    <x v="1"/>
    <n v="55.6"/>
    <x v="622"/>
    <x v="48"/>
    <d v="2025-02-20T00:00:00"/>
    <x v="1"/>
    <x v="1"/>
    <x v="2"/>
    <x v="0"/>
    <x v="6"/>
    <x v="1"/>
    <x v="7"/>
    <x v="1"/>
  </r>
  <r>
    <x v="1257"/>
    <x v="2"/>
    <x v="2"/>
    <n v="134.9"/>
    <x v="1051"/>
    <x v="48"/>
    <d v="2025-02-19T00:00:00"/>
    <x v="1"/>
    <x v="1"/>
    <x v="1"/>
    <x v="0"/>
    <x v="6"/>
    <x v="3"/>
    <x v="7"/>
    <x v="1"/>
  </r>
  <r>
    <x v="1258"/>
    <x v="10"/>
    <x v="9"/>
    <n v="42.6"/>
    <x v="226"/>
    <x v="48"/>
    <d v="2025-02-19T00:00:00"/>
    <x v="1"/>
    <x v="0"/>
    <x v="0"/>
    <x v="0"/>
    <x v="6"/>
    <x v="3"/>
    <x v="7"/>
    <x v="1"/>
  </r>
  <r>
    <x v="1259"/>
    <x v="7"/>
    <x v="9"/>
    <n v="60.6"/>
    <x v="1052"/>
    <x v="48"/>
    <d v="2025-02-20T00:00:00"/>
    <x v="1"/>
    <x v="4"/>
    <x v="0"/>
    <x v="0"/>
    <x v="6"/>
    <x v="1"/>
    <x v="7"/>
    <x v="1"/>
  </r>
  <r>
    <x v="1260"/>
    <x v="8"/>
    <x v="1"/>
    <n v="43.5"/>
    <x v="1053"/>
    <x v="48"/>
    <d v="2025-02-19T00:00:00"/>
    <x v="1"/>
    <x v="4"/>
    <x v="0"/>
    <x v="0"/>
    <x v="7"/>
    <x v="3"/>
    <x v="7"/>
    <x v="1"/>
  </r>
  <r>
    <x v="1261"/>
    <x v="2"/>
    <x v="1"/>
    <n v="187.1"/>
    <x v="1054"/>
    <x v="48"/>
    <d v="2025-02-19T00:00:00"/>
    <x v="1"/>
    <x v="1"/>
    <x v="2"/>
    <x v="0"/>
    <x v="8"/>
    <x v="3"/>
    <x v="7"/>
    <x v="1"/>
  </r>
  <r>
    <x v="1262"/>
    <x v="9"/>
    <x v="2"/>
    <n v="32"/>
    <x v="854"/>
    <x v="48"/>
    <d v="2025-02-20T00:00:00"/>
    <x v="1"/>
    <x v="0"/>
    <x v="0"/>
    <x v="0"/>
    <x v="8"/>
    <x v="1"/>
    <x v="7"/>
    <x v="1"/>
  </r>
  <r>
    <x v="1263"/>
    <x v="9"/>
    <x v="1"/>
    <n v="110.8"/>
    <x v="1055"/>
    <x v="48"/>
    <d v="2025-02-18T00:00:00"/>
    <x v="1"/>
    <x v="0"/>
    <x v="2"/>
    <x v="0"/>
    <x v="8"/>
    <x v="7"/>
    <x v="7"/>
    <x v="1"/>
  </r>
  <r>
    <x v="1264"/>
    <x v="10"/>
    <x v="15"/>
    <n v="36.1"/>
    <x v="1056"/>
    <x v="48"/>
    <d v="2025-02-21T00:00:00"/>
    <x v="2"/>
    <x v="0"/>
    <x v="1"/>
    <x v="0"/>
    <x v="8"/>
    <x v="2"/>
    <x v="7"/>
    <x v="2"/>
  </r>
  <r>
    <x v="1265"/>
    <x v="0"/>
    <x v="0"/>
    <n v="24.1"/>
    <x v="1057"/>
    <x v="48"/>
    <d v="2025-02-20T00:00:00"/>
    <x v="2"/>
    <x v="4"/>
    <x v="2"/>
    <x v="0"/>
    <x v="8"/>
    <x v="1"/>
    <x v="7"/>
    <x v="2"/>
  </r>
  <r>
    <x v="1266"/>
    <x v="19"/>
    <x v="2"/>
    <n v="30.5"/>
    <x v="1058"/>
    <x v="48"/>
    <d v="2025-02-20T00:00:00"/>
    <x v="1"/>
    <x v="1"/>
    <x v="0"/>
    <x v="0"/>
    <x v="8"/>
    <x v="1"/>
    <x v="7"/>
    <x v="1"/>
  </r>
  <r>
    <x v="1267"/>
    <x v="18"/>
    <x v="13"/>
    <n v="68.3"/>
    <x v="1059"/>
    <x v="48"/>
    <d v="2025-02-21T00:00:00"/>
    <x v="1"/>
    <x v="0"/>
    <x v="0"/>
    <x v="0"/>
    <x v="8"/>
    <x v="2"/>
    <x v="7"/>
    <x v="1"/>
  </r>
  <r>
    <x v="1268"/>
    <x v="7"/>
    <x v="2"/>
    <n v="43.3"/>
    <x v="1060"/>
    <x v="48"/>
    <d v="2025-02-22T00:00:00"/>
    <x v="2"/>
    <x v="0"/>
    <x v="0"/>
    <x v="0"/>
    <x v="17"/>
    <x v="5"/>
    <x v="7"/>
    <x v="2"/>
  </r>
  <r>
    <x v="1269"/>
    <x v="3"/>
    <x v="0"/>
    <n v="101.7"/>
    <x v="530"/>
    <x v="48"/>
    <d v="2025-02-21T00:00:00"/>
    <x v="2"/>
    <x v="0"/>
    <x v="1"/>
    <x v="0"/>
    <x v="17"/>
    <x v="2"/>
    <x v="7"/>
    <x v="2"/>
  </r>
  <r>
    <x v="1270"/>
    <x v="11"/>
    <x v="1"/>
    <n v="54.2"/>
    <x v="1061"/>
    <x v="48"/>
    <d v="2025-02-19T00:00:00"/>
    <x v="2"/>
    <x v="0"/>
    <x v="1"/>
    <x v="0"/>
    <x v="17"/>
    <x v="3"/>
    <x v="7"/>
    <x v="2"/>
  </r>
  <r>
    <x v="1271"/>
    <x v="16"/>
    <x v="1"/>
    <n v="51"/>
    <x v="1062"/>
    <x v="48"/>
    <d v="2025-02-18T00:00:00"/>
    <x v="1"/>
    <x v="1"/>
    <x v="0"/>
    <x v="0"/>
    <x v="26"/>
    <x v="7"/>
    <x v="7"/>
    <x v="1"/>
  </r>
  <r>
    <x v="1272"/>
    <x v="4"/>
    <x v="1"/>
    <n v="23.1"/>
    <x v="1063"/>
    <x v="48"/>
    <d v="2025-02-21T00:00:00"/>
    <x v="1"/>
    <x v="1"/>
    <x v="0"/>
    <x v="0"/>
    <x v="10"/>
    <x v="2"/>
    <x v="7"/>
    <x v="1"/>
  </r>
  <r>
    <x v="1273"/>
    <x v="12"/>
    <x v="13"/>
    <n v="60.1"/>
    <x v="116"/>
    <x v="48"/>
    <d v="2025-02-18T00:00:00"/>
    <x v="2"/>
    <x v="3"/>
    <x v="0"/>
    <x v="0"/>
    <x v="11"/>
    <x v="7"/>
    <x v="7"/>
    <x v="2"/>
  </r>
  <r>
    <x v="1274"/>
    <x v="2"/>
    <x v="3"/>
    <n v="87.5"/>
    <x v="1064"/>
    <x v="48"/>
    <d v="2025-02-20T00:00:00"/>
    <x v="2"/>
    <x v="0"/>
    <x v="1"/>
    <x v="0"/>
    <x v="11"/>
    <x v="1"/>
    <x v="7"/>
    <x v="2"/>
  </r>
  <r>
    <x v="1275"/>
    <x v="1"/>
    <x v="2"/>
    <n v="51"/>
    <x v="1065"/>
    <x v="48"/>
    <d v="2025-02-19T00:00:00"/>
    <x v="2"/>
    <x v="1"/>
    <x v="0"/>
    <x v="0"/>
    <x v="11"/>
    <x v="3"/>
    <x v="7"/>
    <x v="2"/>
  </r>
  <r>
    <x v="1276"/>
    <x v="8"/>
    <x v="12"/>
    <n v="19.2"/>
    <x v="714"/>
    <x v="48"/>
    <d v="2025-02-20T00:00:00"/>
    <x v="2"/>
    <x v="0"/>
    <x v="0"/>
    <x v="0"/>
    <x v="11"/>
    <x v="1"/>
    <x v="7"/>
    <x v="2"/>
  </r>
  <r>
    <x v="1277"/>
    <x v="5"/>
    <x v="8"/>
    <n v="26.5"/>
    <x v="1066"/>
    <x v="48"/>
    <d v="2025-02-19T00:00:00"/>
    <x v="0"/>
    <x v="3"/>
    <x v="2"/>
    <x v="0"/>
    <x v="11"/>
    <x v="3"/>
    <x v="7"/>
    <x v="0"/>
  </r>
  <r>
    <x v="1278"/>
    <x v="2"/>
    <x v="1"/>
    <n v="220.3"/>
    <x v="1067"/>
    <x v="48"/>
    <d v="2025-02-19T00:00:00"/>
    <x v="2"/>
    <x v="1"/>
    <x v="4"/>
    <x v="0"/>
    <x v="53"/>
    <x v="3"/>
    <x v="7"/>
    <x v="2"/>
  </r>
  <r>
    <x v="1279"/>
    <x v="8"/>
    <x v="2"/>
    <n v="45.7"/>
    <x v="1068"/>
    <x v="48"/>
    <d v="2025-02-19T00:00:00"/>
    <x v="2"/>
    <x v="4"/>
    <x v="0"/>
    <x v="0"/>
    <x v="30"/>
    <x v="3"/>
    <x v="7"/>
    <x v="2"/>
  </r>
  <r>
    <x v="1280"/>
    <x v="5"/>
    <x v="9"/>
    <n v="47.1"/>
    <x v="1069"/>
    <x v="48"/>
    <d v="2025-02-22T00:00:00"/>
    <x v="2"/>
    <x v="3"/>
    <x v="0"/>
    <x v="0"/>
    <x v="13"/>
    <x v="5"/>
    <x v="7"/>
    <x v="2"/>
  </r>
  <r>
    <x v="1281"/>
    <x v="1"/>
    <x v="9"/>
    <n v="81.7"/>
    <x v="856"/>
    <x v="48"/>
    <d v="2025-02-19T00:00:00"/>
    <x v="2"/>
    <x v="0"/>
    <x v="2"/>
    <x v="0"/>
    <x v="21"/>
    <x v="3"/>
    <x v="7"/>
    <x v="2"/>
  </r>
  <r>
    <x v="1282"/>
    <x v="6"/>
    <x v="7"/>
    <n v="97.8"/>
    <x v="1070"/>
    <x v="48"/>
    <d v="2025-02-18T00:00:00"/>
    <x v="1"/>
    <x v="1"/>
    <x v="1"/>
    <x v="0"/>
    <x v="21"/>
    <x v="7"/>
    <x v="7"/>
    <x v="1"/>
  </r>
  <r>
    <x v="1283"/>
    <x v="6"/>
    <x v="2"/>
    <n v="42.4"/>
    <x v="1071"/>
    <x v="48"/>
    <d v="2025-02-19T00:00:00"/>
    <x v="2"/>
    <x v="0"/>
    <x v="2"/>
    <x v="0"/>
    <x v="54"/>
    <x v="3"/>
    <x v="7"/>
    <x v="2"/>
  </r>
  <r>
    <x v="1284"/>
    <x v="2"/>
    <x v="7"/>
    <n v="74.5"/>
    <x v="1072"/>
    <x v="48"/>
    <d v="2025-02-19T00:00:00"/>
    <x v="1"/>
    <x v="2"/>
    <x v="1"/>
    <x v="0"/>
    <x v="1"/>
    <x v="3"/>
    <x v="7"/>
    <x v="1"/>
  </r>
  <r>
    <x v="1285"/>
    <x v="17"/>
    <x v="13"/>
    <n v="47.4"/>
    <x v="1073"/>
    <x v="48"/>
    <d v="2025-02-19T00:00:00"/>
    <x v="1"/>
    <x v="1"/>
    <x v="0"/>
    <x v="0"/>
    <x v="1"/>
    <x v="3"/>
    <x v="7"/>
    <x v="1"/>
  </r>
  <r>
    <x v="1286"/>
    <x v="14"/>
    <x v="2"/>
    <n v="17.3"/>
    <x v="1074"/>
    <x v="49"/>
    <d v="2025-02-22T00:00:00"/>
    <x v="1"/>
    <x v="2"/>
    <x v="2"/>
    <x v="0"/>
    <x v="1"/>
    <x v="2"/>
    <x v="7"/>
    <x v="1"/>
  </r>
  <r>
    <x v="1287"/>
    <x v="12"/>
    <x v="12"/>
    <n v="77.900000000000006"/>
    <x v="1075"/>
    <x v="49"/>
    <d v="2025-02-20T00:00:00"/>
    <x v="1"/>
    <x v="1"/>
    <x v="0"/>
    <x v="0"/>
    <x v="2"/>
    <x v="3"/>
    <x v="7"/>
    <x v="1"/>
  </r>
  <r>
    <x v="1288"/>
    <x v="8"/>
    <x v="0"/>
    <n v="29.1"/>
    <x v="1076"/>
    <x v="49"/>
    <d v="2025-02-22T00:00:00"/>
    <x v="1"/>
    <x v="0"/>
    <x v="2"/>
    <x v="0"/>
    <x v="50"/>
    <x v="2"/>
    <x v="7"/>
    <x v="1"/>
  </r>
  <r>
    <x v="1289"/>
    <x v="8"/>
    <x v="0"/>
    <n v="49"/>
    <x v="268"/>
    <x v="49"/>
    <d v="2025-02-20T00:00:00"/>
    <x v="1"/>
    <x v="1"/>
    <x v="0"/>
    <x v="0"/>
    <x v="3"/>
    <x v="3"/>
    <x v="7"/>
    <x v="1"/>
  </r>
  <r>
    <x v="1290"/>
    <x v="8"/>
    <x v="13"/>
    <n v="21.1"/>
    <x v="1077"/>
    <x v="49"/>
    <d v="2025-02-26T00:00:00"/>
    <x v="1"/>
    <x v="0"/>
    <x v="2"/>
    <x v="0"/>
    <x v="3"/>
    <x v="6"/>
    <x v="7"/>
    <x v="1"/>
  </r>
  <r>
    <x v="1291"/>
    <x v="4"/>
    <x v="10"/>
    <n v="36.9"/>
    <x v="1078"/>
    <x v="49"/>
    <d v="2025-02-19T00:00:00"/>
    <x v="2"/>
    <x v="0"/>
    <x v="0"/>
    <x v="0"/>
    <x v="3"/>
    <x v="7"/>
    <x v="7"/>
    <x v="2"/>
  </r>
  <r>
    <x v="1292"/>
    <x v="1"/>
    <x v="7"/>
    <n v="92.6"/>
    <x v="1079"/>
    <x v="49"/>
    <d v="2025-02-24T00:00:00"/>
    <x v="1"/>
    <x v="4"/>
    <x v="2"/>
    <x v="0"/>
    <x v="3"/>
    <x v="0"/>
    <x v="7"/>
    <x v="1"/>
  </r>
  <r>
    <x v="1293"/>
    <x v="10"/>
    <x v="1"/>
    <n v="38"/>
    <x v="998"/>
    <x v="49"/>
    <d v="2025-02-20T00:00:00"/>
    <x v="1"/>
    <x v="1"/>
    <x v="1"/>
    <x v="0"/>
    <x v="3"/>
    <x v="3"/>
    <x v="7"/>
    <x v="1"/>
  </r>
  <r>
    <x v="1294"/>
    <x v="5"/>
    <x v="2"/>
    <n v="54.8"/>
    <x v="1080"/>
    <x v="49"/>
    <d v="2025-02-23T00:00:00"/>
    <x v="0"/>
    <x v="0"/>
    <x v="1"/>
    <x v="0"/>
    <x v="3"/>
    <x v="5"/>
    <x v="7"/>
    <x v="0"/>
  </r>
  <r>
    <x v="1295"/>
    <x v="10"/>
    <x v="4"/>
    <n v="56.8"/>
    <x v="1081"/>
    <x v="49"/>
    <d v="2025-02-21T00:00:00"/>
    <x v="1"/>
    <x v="1"/>
    <x v="0"/>
    <x v="0"/>
    <x v="3"/>
    <x v="1"/>
    <x v="7"/>
    <x v="1"/>
  </r>
  <r>
    <x v="1296"/>
    <x v="11"/>
    <x v="40"/>
    <n v="47.2"/>
    <x v="1082"/>
    <x v="49"/>
    <d v="2025-02-22T00:00:00"/>
    <x v="2"/>
    <x v="1"/>
    <x v="0"/>
    <x v="0"/>
    <x v="3"/>
    <x v="2"/>
    <x v="7"/>
    <x v="2"/>
  </r>
  <r>
    <x v="1297"/>
    <x v="7"/>
    <x v="13"/>
    <n v="45.1"/>
    <x v="1083"/>
    <x v="49"/>
    <d v="2025-02-20T00:00:00"/>
    <x v="2"/>
    <x v="2"/>
    <x v="0"/>
    <x v="0"/>
    <x v="43"/>
    <x v="3"/>
    <x v="7"/>
    <x v="2"/>
  </r>
  <r>
    <x v="1298"/>
    <x v="4"/>
    <x v="4"/>
    <n v="25.2"/>
    <x v="982"/>
    <x v="49"/>
    <d v="2025-02-24T00:00:00"/>
    <x v="2"/>
    <x v="2"/>
    <x v="0"/>
    <x v="0"/>
    <x v="16"/>
    <x v="0"/>
    <x v="7"/>
    <x v="2"/>
  </r>
  <r>
    <x v="1299"/>
    <x v="8"/>
    <x v="0"/>
    <n v="22"/>
    <x v="1084"/>
    <x v="49"/>
    <d v="2025-02-20T00:00:00"/>
    <x v="2"/>
    <x v="0"/>
    <x v="0"/>
    <x v="0"/>
    <x v="5"/>
    <x v="3"/>
    <x v="7"/>
    <x v="2"/>
  </r>
  <r>
    <x v="1300"/>
    <x v="6"/>
    <x v="1"/>
    <n v="42.2"/>
    <x v="533"/>
    <x v="49"/>
    <d v="2025-02-20T00:00:00"/>
    <x v="2"/>
    <x v="1"/>
    <x v="1"/>
    <x v="0"/>
    <x v="23"/>
    <x v="3"/>
    <x v="7"/>
    <x v="2"/>
  </r>
  <r>
    <x v="1301"/>
    <x v="13"/>
    <x v="2"/>
    <n v="20.5"/>
    <x v="1085"/>
    <x v="49"/>
    <d v="2025-02-20T00:00:00"/>
    <x v="1"/>
    <x v="0"/>
    <x v="1"/>
    <x v="0"/>
    <x v="6"/>
    <x v="3"/>
    <x v="7"/>
    <x v="1"/>
  </r>
  <r>
    <x v="1302"/>
    <x v="2"/>
    <x v="0"/>
    <n v="190.4"/>
    <x v="1086"/>
    <x v="49"/>
    <d v="2025-02-24T00:00:00"/>
    <x v="1"/>
    <x v="1"/>
    <x v="4"/>
    <x v="0"/>
    <x v="6"/>
    <x v="0"/>
    <x v="7"/>
    <x v="1"/>
  </r>
  <r>
    <x v="1303"/>
    <x v="2"/>
    <x v="0"/>
    <n v="121.9"/>
    <x v="1087"/>
    <x v="49"/>
    <d v="2025-02-21T00:00:00"/>
    <x v="2"/>
    <x v="1"/>
    <x v="2"/>
    <x v="0"/>
    <x v="6"/>
    <x v="1"/>
    <x v="7"/>
    <x v="2"/>
  </r>
  <r>
    <x v="1304"/>
    <x v="2"/>
    <x v="13"/>
    <n v="149.19999999999999"/>
    <x v="1088"/>
    <x v="49"/>
    <d v="2025-02-20T00:00:00"/>
    <x v="2"/>
    <x v="2"/>
    <x v="2"/>
    <x v="0"/>
    <x v="7"/>
    <x v="3"/>
    <x v="7"/>
    <x v="2"/>
  </r>
  <r>
    <x v="1305"/>
    <x v="2"/>
    <x v="0"/>
    <n v="54.1"/>
    <x v="1089"/>
    <x v="49"/>
    <d v="2025-02-28T00:00:00"/>
    <x v="2"/>
    <x v="2"/>
    <x v="2"/>
    <x v="0"/>
    <x v="7"/>
    <x v="8"/>
    <x v="7"/>
    <x v="2"/>
  </r>
  <r>
    <x v="1306"/>
    <x v="5"/>
    <x v="1"/>
    <n v="27.4"/>
    <x v="1090"/>
    <x v="49"/>
    <d v="2025-02-21T00:00:00"/>
    <x v="1"/>
    <x v="1"/>
    <x v="0"/>
    <x v="0"/>
    <x v="8"/>
    <x v="1"/>
    <x v="7"/>
    <x v="1"/>
  </r>
  <r>
    <x v="1307"/>
    <x v="0"/>
    <x v="15"/>
    <n v="30.4"/>
    <x v="1091"/>
    <x v="49"/>
    <d v="2025-02-20T00:00:00"/>
    <x v="2"/>
    <x v="0"/>
    <x v="2"/>
    <x v="0"/>
    <x v="8"/>
    <x v="3"/>
    <x v="7"/>
    <x v="2"/>
  </r>
  <r>
    <x v="1308"/>
    <x v="12"/>
    <x v="2"/>
    <n v="46.2"/>
    <x v="209"/>
    <x v="49"/>
    <d v="2025-02-21T00:00:00"/>
    <x v="1"/>
    <x v="2"/>
    <x v="1"/>
    <x v="0"/>
    <x v="17"/>
    <x v="1"/>
    <x v="7"/>
    <x v="1"/>
  </r>
  <r>
    <x v="1309"/>
    <x v="7"/>
    <x v="8"/>
    <n v="78.599999999999994"/>
    <x v="1092"/>
    <x v="49"/>
    <d v="2025-02-23T00:00:00"/>
    <x v="1"/>
    <x v="3"/>
    <x v="0"/>
    <x v="0"/>
    <x v="17"/>
    <x v="5"/>
    <x v="7"/>
    <x v="1"/>
  </r>
  <r>
    <x v="1310"/>
    <x v="17"/>
    <x v="7"/>
    <n v="25.9"/>
    <x v="155"/>
    <x v="49"/>
    <d v="2025-02-25T00:00:00"/>
    <x v="1"/>
    <x v="4"/>
    <x v="0"/>
    <x v="0"/>
    <x v="9"/>
    <x v="4"/>
    <x v="7"/>
    <x v="1"/>
  </r>
  <r>
    <x v="1311"/>
    <x v="6"/>
    <x v="0"/>
    <n v="134.80000000000001"/>
    <x v="1093"/>
    <x v="49"/>
    <d v="2025-02-21T00:00:00"/>
    <x v="1"/>
    <x v="2"/>
    <x v="2"/>
    <x v="0"/>
    <x v="9"/>
    <x v="1"/>
    <x v="7"/>
    <x v="1"/>
  </r>
  <r>
    <x v="1312"/>
    <x v="15"/>
    <x v="9"/>
    <n v="43.1"/>
    <x v="1094"/>
    <x v="49"/>
    <d v="2025-02-21T00:00:00"/>
    <x v="2"/>
    <x v="0"/>
    <x v="0"/>
    <x v="0"/>
    <x v="11"/>
    <x v="1"/>
    <x v="7"/>
    <x v="2"/>
  </r>
  <r>
    <x v="1313"/>
    <x v="2"/>
    <x v="1"/>
    <n v="215.6"/>
    <x v="348"/>
    <x v="49"/>
    <d v="2025-02-20T00:00:00"/>
    <x v="2"/>
    <x v="2"/>
    <x v="0"/>
    <x v="0"/>
    <x v="18"/>
    <x v="3"/>
    <x v="7"/>
    <x v="2"/>
  </r>
  <r>
    <x v="1314"/>
    <x v="6"/>
    <x v="1"/>
    <n v="80.7"/>
    <x v="1095"/>
    <x v="49"/>
    <d v="2025-02-22T00:00:00"/>
    <x v="2"/>
    <x v="3"/>
    <x v="0"/>
    <x v="0"/>
    <x v="18"/>
    <x v="2"/>
    <x v="7"/>
    <x v="2"/>
  </r>
  <r>
    <x v="1315"/>
    <x v="10"/>
    <x v="3"/>
    <n v="20.6"/>
    <x v="1096"/>
    <x v="49"/>
    <d v="2025-02-24T00:00:00"/>
    <x v="0"/>
    <x v="2"/>
    <x v="1"/>
    <x v="0"/>
    <x v="19"/>
    <x v="0"/>
    <x v="7"/>
    <x v="0"/>
  </r>
  <r>
    <x v="1316"/>
    <x v="12"/>
    <x v="2"/>
    <n v="37.1"/>
    <x v="1097"/>
    <x v="49"/>
    <d v="2025-02-20T00:00:00"/>
    <x v="2"/>
    <x v="0"/>
    <x v="0"/>
    <x v="0"/>
    <x v="52"/>
    <x v="3"/>
    <x v="7"/>
    <x v="2"/>
  </r>
  <r>
    <x v="1317"/>
    <x v="12"/>
    <x v="0"/>
    <n v="104.8"/>
    <x v="661"/>
    <x v="50"/>
    <d v="2025-02-22T00:00:00"/>
    <x v="2"/>
    <x v="0"/>
    <x v="0"/>
    <x v="0"/>
    <x v="13"/>
    <x v="1"/>
    <x v="7"/>
    <x v="2"/>
  </r>
  <r>
    <x v="1318"/>
    <x v="8"/>
    <x v="1"/>
    <n v="59"/>
    <x v="1098"/>
    <x v="50"/>
    <d v="2025-02-21T00:00:00"/>
    <x v="1"/>
    <x v="1"/>
    <x v="0"/>
    <x v="0"/>
    <x v="21"/>
    <x v="3"/>
    <x v="7"/>
    <x v="1"/>
  </r>
  <r>
    <x v="1319"/>
    <x v="8"/>
    <x v="1"/>
    <n v="32.299999999999997"/>
    <x v="1099"/>
    <x v="50"/>
    <d v="2025-02-21T00:00:00"/>
    <x v="1"/>
    <x v="0"/>
    <x v="2"/>
    <x v="0"/>
    <x v="21"/>
    <x v="3"/>
    <x v="7"/>
    <x v="1"/>
  </r>
  <r>
    <x v="1320"/>
    <x v="8"/>
    <x v="12"/>
    <n v="28.9"/>
    <x v="446"/>
    <x v="50"/>
    <d v="2025-02-27T00:00:00"/>
    <x v="1"/>
    <x v="0"/>
    <x v="0"/>
    <x v="0"/>
    <x v="1"/>
    <x v="6"/>
    <x v="7"/>
    <x v="1"/>
  </r>
  <r>
    <x v="1321"/>
    <x v="0"/>
    <x v="1"/>
    <n v="29.6"/>
    <x v="1100"/>
    <x v="50"/>
    <d v="2025-02-22T00:00:00"/>
    <x v="1"/>
    <x v="0"/>
    <x v="0"/>
    <x v="0"/>
    <x v="1"/>
    <x v="1"/>
    <x v="7"/>
    <x v="1"/>
  </r>
  <r>
    <x v="1322"/>
    <x v="0"/>
    <x v="9"/>
    <n v="29.4"/>
    <x v="926"/>
    <x v="50"/>
    <d v="2025-02-23T00:00:00"/>
    <x v="2"/>
    <x v="0"/>
    <x v="0"/>
    <x v="0"/>
    <x v="1"/>
    <x v="2"/>
    <x v="7"/>
    <x v="2"/>
  </r>
  <r>
    <x v="1323"/>
    <x v="1"/>
    <x v="1"/>
    <n v="40.6"/>
    <x v="1101"/>
    <x v="50"/>
    <d v="2025-02-21T00:00:00"/>
    <x v="1"/>
    <x v="0"/>
    <x v="4"/>
    <x v="0"/>
    <x v="2"/>
    <x v="3"/>
    <x v="7"/>
    <x v="1"/>
  </r>
  <r>
    <x v="1324"/>
    <x v="0"/>
    <x v="2"/>
    <n v="32.5"/>
    <x v="647"/>
    <x v="50"/>
    <d v="2025-02-21T00:00:00"/>
    <x v="1"/>
    <x v="3"/>
    <x v="2"/>
    <x v="0"/>
    <x v="22"/>
    <x v="3"/>
    <x v="7"/>
    <x v="1"/>
  </r>
  <r>
    <x v="1325"/>
    <x v="15"/>
    <x v="0"/>
    <n v="26.2"/>
    <x v="1102"/>
    <x v="50"/>
    <d v="2025-02-22T00:00:00"/>
    <x v="1"/>
    <x v="2"/>
    <x v="0"/>
    <x v="0"/>
    <x v="55"/>
    <x v="1"/>
    <x v="7"/>
    <x v="1"/>
  </r>
  <r>
    <x v="1326"/>
    <x v="10"/>
    <x v="17"/>
    <n v="44"/>
    <x v="1103"/>
    <x v="50"/>
    <d v="2025-02-26T00:00:00"/>
    <x v="1"/>
    <x v="4"/>
    <x v="0"/>
    <x v="0"/>
    <x v="3"/>
    <x v="4"/>
    <x v="7"/>
    <x v="1"/>
  </r>
  <r>
    <x v="1327"/>
    <x v="7"/>
    <x v="12"/>
    <n v="65.599999999999994"/>
    <x v="1104"/>
    <x v="50"/>
    <d v="2025-02-21T00:00:00"/>
    <x v="2"/>
    <x v="1"/>
    <x v="1"/>
    <x v="0"/>
    <x v="3"/>
    <x v="3"/>
    <x v="7"/>
    <x v="2"/>
  </r>
  <r>
    <x v="1328"/>
    <x v="5"/>
    <x v="4"/>
    <n v="32.6"/>
    <x v="1105"/>
    <x v="50"/>
    <d v="2025-02-21T00:00:00"/>
    <x v="1"/>
    <x v="4"/>
    <x v="0"/>
    <x v="0"/>
    <x v="3"/>
    <x v="3"/>
    <x v="7"/>
    <x v="1"/>
  </r>
  <r>
    <x v="1329"/>
    <x v="16"/>
    <x v="1"/>
    <n v="88.7"/>
    <x v="633"/>
    <x v="50"/>
    <d v="2025-02-21T00:00:00"/>
    <x v="0"/>
    <x v="3"/>
    <x v="2"/>
    <x v="0"/>
    <x v="3"/>
    <x v="3"/>
    <x v="7"/>
    <x v="0"/>
  </r>
  <r>
    <x v="1330"/>
    <x v="4"/>
    <x v="1"/>
    <n v="21.3"/>
    <x v="440"/>
    <x v="50"/>
    <d v="2025-02-21T00:00:00"/>
    <x v="1"/>
    <x v="0"/>
    <x v="0"/>
    <x v="0"/>
    <x v="3"/>
    <x v="3"/>
    <x v="7"/>
    <x v="1"/>
  </r>
  <r>
    <x v="1331"/>
    <x v="4"/>
    <x v="13"/>
    <n v="50.6"/>
    <x v="80"/>
    <x v="50"/>
    <d v="2025-02-24T00:00:00"/>
    <x v="2"/>
    <x v="2"/>
    <x v="0"/>
    <x v="0"/>
    <x v="3"/>
    <x v="5"/>
    <x v="7"/>
    <x v="2"/>
  </r>
  <r>
    <x v="1332"/>
    <x v="9"/>
    <x v="38"/>
    <n v="86.9"/>
    <x v="1106"/>
    <x v="50"/>
    <d v="2025-02-23T00:00:00"/>
    <x v="2"/>
    <x v="0"/>
    <x v="1"/>
    <x v="0"/>
    <x v="3"/>
    <x v="2"/>
    <x v="7"/>
    <x v="2"/>
  </r>
  <r>
    <x v="1333"/>
    <x v="11"/>
    <x v="2"/>
    <n v="31.8"/>
    <x v="233"/>
    <x v="50"/>
    <d v="2025-02-22T00:00:00"/>
    <x v="1"/>
    <x v="0"/>
    <x v="2"/>
    <x v="0"/>
    <x v="3"/>
    <x v="1"/>
    <x v="7"/>
    <x v="1"/>
  </r>
  <r>
    <x v="1334"/>
    <x v="8"/>
    <x v="0"/>
    <n v="19"/>
    <x v="134"/>
    <x v="50"/>
    <d v="2025-02-21T00:00:00"/>
    <x v="2"/>
    <x v="0"/>
    <x v="2"/>
    <x v="0"/>
    <x v="3"/>
    <x v="3"/>
    <x v="7"/>
    <x v="2"/>
  </r>
  <r>
    <x v="1335"/>
    <x v="5"/>
    <x v="0"/>
    <n v="54.5"/>
    <x v="1107"/>
    <x v="50"/>
    <d v="2025-02-22T00:00:00"/>
    <x v="1"/>
    <x v="0"/>
    <x v="0"/>
    <x v="0"/>
    <x v="3"/>
    <x v="1"/>
    <x v="7"/>
    <x v="1"/>
  </r>
  <r>
    <x v="1336"/>
    <x v="9"/>
    <x v="9"/>
    <n v="68.900000000000006"/>
    <x v="1108"/>
    <x v="50"/>
    <d v="2025-02-22T00:00:00"/>
    <x v="1"/>
    <x v="4"/>
    <x v="1"/>
    <x v="0"/>
    <x v="3"/>
    <x v="1"/>
    <x v="7"/>
    <x v="1"/>
  </r>
  <r>
    <x v="1337"/>
    <x v="6"/>
    <x v="2"/>
    <n v="84"/>
    <x v="816"/>
    <x v="50"/>
    <d v="2025-02-21T00:00:00"/>
    <x v="1"/>
    <x v="1"/>
    <x v="4"/>
    <x v="0"/>
    <x v="16"/>
    <x v="3"/>
    <x v="7"/>
    <x v="1"/>
  </r>
  <r>
    <x v="1338"/>
    <x v="15"/>
    <x v="8"/>
    <n v="23.1"/>
    <x v="827"/>
    <x v="50"/>
    <d v="2025-02-25T00:00:00"/>
    <x v="1"/>
    <x v="0"/>
    <x v="2"/>
    <x v="0"/>
    <x v="23"/>
    <x v="0"/>
    <x v="7"/>
    <x v="1"/>
  </r>
  <r>
    <x v="1339"/>
    <x v="7"/>
    <x v="1"/>
    <n v="62.4"/>
    <x v="1109"/>
    <x v="50"/>
    <d v="2025-02-21T00:00:00"/>
    <x v="2"/>
    <x v="0"/>
    <x v="1"/>
    <x v="0"/>
    <x v="6"/>
    <x v="3"/>
    <x v="7"/>
    <x v="2"/>
  </r>
  <r>
    <x v="1340"/>
    <x v="6"/>
    <x v="4"/>
    <n v="40.700000000000003"/>
    <x v="1110"/>
    <x v="50"/>
    <d v="2025-02-22T00:00:00"/>
    <x v="1"/>
    <x v="1"/>
    <x v="2"/>
    <x v="0"/>
    <x v="6"/>
    <x v="1"/>
    <x v="7"/>
    <x v="1"/>
  </r>
  <r>
    <x v="1341"/>
    <x v="6"/>
    <x v="0"/>
    <n v="49.6"/>
    <x v="1111"/>
    <x v="50"/>
    <d v="2025-02-23T00:00:00"/>
    <x v="1"/>
    <x v="2"/>
    <x v="0"/>
    <x v="0"/>
    <x v="7"/>
    <x v="2"/>
    <x v="7"/>
    <x v="1"/>
  </r>
  <r>
    <x v="1342"/>
    <x v="7"/>
    <x v="41"/>
    <n v="66.599999999999994"/>
    <x v="1112"/>
    <x v="50"/>
    <d v="2025-02-23T00:00:00"/>
    <x v="1"/>
    <x v="2"/>
    <x v="0"/>
    <x v="0"/>
    <x v="8"/>
    <x v="2"/>
    <x v="7"/>
    <x v="1"/>
  </r>
  <r>
    <x v="1343"/>
    <x v="8"/>
    <x v="2"/>
    <n v="26.4"/>
    <x v="1113"/>
    <x v="50"/>
    <d v="2025-02-21T00:00:00"/>
    <x v="2"/>
    <x v="1"/>
    <x v="1"/>
    <x v="0"/>
    <x v="8"/>
    <x v="3"/>
    <x v="7"/>
    <x v="2"/>
  </r>
  <r>
    <x v="1344"/>
    <x v="0"/>
    <x v="1"/>
    <n v="17.2"/>
    <x v="1114"/>
    <x v="50"/>
    <d v="2025-02-23T00:00:00"/>
    <x v="1"/>
    <x v="2"/>
    <x v="1"/>
    <x v="0"/>
    <x v="8"/>
    <x v="2"/>
    <x v="7"/>
    <x v="1"/>
  </r>
  <r>
    <x v="1345"/>
    <x v="5"/>
    <x v="8"/>
    <n v="58.1"/>
    <x v="1115"/>
    <x v="50"/>
    <d v="2025-02-23T00:00:00"/>
    <x v="2"/>
    <x v="4"/>
    <x v="0"/>
    <x v="0"/>
    <x v="8"/>
    <x v="2"/>
    <x v="7"/>
    <x v="2"/>
  </r>
  <r>
    <x v="1346"/>
    <x v="15"/>
    <x v="12"/>
    <n v="31.5"/>
    <x v="624"/>
    <x v="50"/>
    <d v="2025-02-23T00:00:00"/>
    <x v="2"/>
    <x v="4"/>
    <x v="4"/>
    <x v="0"/>
    <x v="8"/>
    <x v="2"/>
    <x v="7"/>
    <x v="2"/>
  </r>
  <r>
    <x v="1347"/>
    <x v="0"/>
    <x v="0"/>
    <n v="27.1"/>
    <x v="1116"/>
    <x v="50"/>
    <d v="2025-02-22T00:00:00"/>
    <x v="2"/>
    <x v="0"/>
    <x v="1"/>
    <x v="0"/>
    <x v="17"/>
    <x v="1"/>
    <x v="7"/>
    <x v="2"/>
  </r>
  <r>
    <x v="1348"/>
    <x v="18"/>
    <x v="12"/>
    <n v="28.5"/>
    <x v="717"/>
    <x v="50"/>
    <d v="2025-02-22T00:00:00"/>
    <x v="1"/>
    <x v="1"/>
    <x v="2"/>
    <x v="0"/>
    <x v="9"/>
    <x v="1"/>
    <x v="7"/>
    <x v="1"/>
  </r>
  <r>
    <x v="1349"/>
    <x v="10"/>
    <x v="0"/>
    <n v="40.5"/>
    <x v="1117"/>
    <x v="51"/>
    <d v="2025-02-23T00:00:00"/>
    <x v="3"/>
    <x v="2"/>
    <x v="0"/>
    <x v="0"/>
    <x v="9"/>
    <x v="1"/>
    <x v="7"/>
    <x v="3"/>
  </r>
  <r>
    <x v="1350"/>
    <x v="2"/>
    <x v="2"/>
    <n v="77.900000000000006"/>
    <x v="1118"/>
    <x v="51"/>
    <d v="2025-02-25T00:00:00"/>
    <x v="2"/>
    <x v="1"/>
    <x v="2"/>
    <x v="0"/>
    <x v="19"/>
    <x v="5"/>
    <x v="7"/>
    <x v="2"/>
  </r>
  <r>
    <x v="1351"/>
    <x v="18"/>
    <x v="12"/>
    <n v="37.1"/>
    <x v="1119"/>
    <x v="51"/>
    <d v="2025-02-23T00:00:00"/>
    <x v="1"/>
    <x v="4"/>
    <x v="2"/>
    <x v="0"/>
    <x v="19"/>
    <x v="1"/>
    <x v="7"/>
    <x v="1"/>
  </r>
  <r>
    <x v="1352"/>
    <x v="16"/>
    <x v="2"/>
    <n v="51.6"/>
    <x v="1120"/>
    <x v="51"/>
    <d v="2025-03-01T00:00:00"/>
    <x v="2"/>
    <x v="0"/>
    <x v="4"/>
    <x v="0"/>
    <x v="19"/>
    <x v="9"/>
    <x v="7"/>
    <x v="2"/>
  </r>
  <r>
    <x v="1353"/>
    <x v="7"/>
    <x v="2"/>
    <n v="98"/>
    <x v="1121"/>
    <x v="51"/>
    <d v="2025-02-22T00:00:00"/>
    <x v="1"/>
    <x v="1"/>
    <x v="1"/>
    <x v="0"/>
    <x v="19"/>
    <x v="3"/>
    <x v="7"/>
    <x v="1"/>
  </r>
  <r>
    <x v="1354"/>
    <x v="6"/>
    <x v="3"/>
    <n v="41.4"/>
    <x v="1122"/>
    <x v="51"/>
    <d v="2025-02-22T00:00:00"/>
    <x v="1"/>
    <x v="1"/>
    <x v="0"/>
    <x v="0"/>
    <x v="20"/>
    <x v="3"/>
    <x v="7"/>
    <x v="1"/>
  </r>
  <r>
    <x v="1355"/>
    <x v="11"/>
    <x v="8"/>
    <n v="34"/>
    <x v="1123"/>
    <x v="51"/>
    <d v="2025-02-26T00:00:00"/>
    <x v="2"/>
    <x v="0"/>
    <x v="2"/>
    <x v="0"/>
    <x v="52"/>
    <x v="0"/>
    <x v="7"/>
    <x v="2"/>
  </r>
  <r>
    <x v="1356"/>
    <x v="6"/>
    <x v="0"/>
    <n v="66.3"/>
    <x v="1124"/>
    <x v="51"/>
    <d v="2025-02-22T00:00:00"/>
    <x v="2"/>
    <x v="1"/>
    <x v="0"/>
    <x v="0"/>
    <x v="13"/>
    <x v="3"/>
    <x v="7"/>
    <x v="2"/>
  </r>
  <r>
    <x v="1357"/>
    <x v="7"/>
    <x v="0"/>
    <n v="33.5"/>
    <x v="253"/>
    <x v="51"/>
    <d v="2025-02-25T00:00:00"/>
    <x v="1"/>
    <x v="2"/>
    <x v="0"/>
    <x v="0"/>
    <x v="13"/>
    <x v="5"/>
    <x v="7"/>
    <x v="1"/>
  </r>
  <r>
    <x v="1358"/>
    <x v="12"/>
    <x v="1"/>
    <n v="70.8"/>
    <x v="932"/>
    <x v="51"/>
    <d v="2025-02-22T00:00:00"/>
    <x v="0"/>
    <x v="0"/>
    <x v="0"/>
    <x v="0"/>
    <x v="28"/>
    <x v="3"/>
    <x v="7"/>
    <x v="0"/>
  </r>
  <r>
    <x v="1359"/>
    <x v="6"/>
    <x v="1"/>
    <n v="127.6"/>
    <x v="281"/>
    <x v="51"/>
    <d v="2025-02-22T00:00:00"/>
    <x v="1"/>
    <x v="0"/>
    <x v="0"/>
    <x v="0"/>
    <x v="21"/>
    <x v="3"/>
    <x v="7"/>
    <x v="1"/>
  </r>
  <r>
    <x v="1360"/>
    <x v="6"/>
    <x v="2"/>
    <n v="95.9"/>
    <x v="1125"/>
    <x v="51"/>
    <d v="2025-02-22T00:00:00"/>
    <x v="2"/>
    <x v="1"/>
    <x v="1"/>
    <x v="0"/>
    <x v="21"/>
    <x v="3"/>
    <x v="7"/>
    <x v="2"/>
  </r>
  <r>
    <x v="1361"/>
    <x v="2"/>
    <x v="1"/>
    <n v="78.099999999999994"/>
    <x v="1126"/>
    <x v="51"/>
    <d v="2025-02-22T00:00:00"/>
    <x v="1"/>
    <x v="0"/>
    <x v="0"/>
    <x v="0"/>
    <x v="1"/>
    <x v="3"/>
    <x v="7"/>
    <x v="1"/>
  </r>
  <r>
    <x v="1362"/>
    <x v="13"/>
    <x v="1"/>
    <n v="43.2"/>
    <x v="781"/>
    <x v="51"/>
    <d v="2025-02-22T00:00:00"/>
    <x v="0"/>
    <x v="1"/>
    <x v="1"/>
    <x v="0"/>
    <x v="1"/>
    <x v="3"/>
    <x v="7"/>
    <x v="0"/>
  </r>
  <r>
    <x v="1363"/>
    <x v="8"/>
    <x v="12"/>
    <n v="28.4"/>
    <x v="1127"/>
    <x v="51"/>
    <d v="2025-02-27T00:00:00"/>
    <x v="1"/>
    <x v="2"/>
    <x v="0"/>
    <x v="0"/>
    <x v="3"/>
    <x v="4"/>
    <x v="7"/>
    <x v="1"/>
  </r>
  <r>
    <x v="1364"/>
    <x v="2"/>
    <x v="1"/>
    <n v="81.7"/>
    <x v="1128"/>
    <x v="51"/>
    <d v="2025-02-21T00:00:00"/>
    <x v="1"/>
    <x v="0"/>
    <x v="0"/>
    <x v="0"/>
    <x v="3"/>
    <x v="7"/>
    <x v="7"/>
    <x v="1"/>
  </r>
  <r>
    <x v="1365"/>
    <x v="18"/>
    <x v="1"/>
    <n v="56.7"/>
    <x v="1129"/>
    <x v="51"/>
    <d v="2025-02-23T00:00:00"/>
    <x v="0"/>
    <x v="0"/>
    <x v="2"/>
    <x v="0"/>
    <x v="3"/>
    <x v="1"/>
    <x v="7"/>
    <x v="0"/>
  </r>
  <r>
    <x v="1366"/>
    <x v="3"/>
    <x v="12"/>
    <n v="66.5"/>
    <x v="751"/>
    <x v="51"/>
    <d v="2025-02-21T00:00:00"/>
    <x v="2"/>
    <x v="0"/>
    <x v="2"/>
    <x v="0"/>
    <x v="3"/>
    <x v="7"/>
    <x v="7"/>
    <x v="2"/>
  </r>
  <r>
    <x v="1367"/>
    <x v="1"/>
    <x v="1"/>
    <n v="105.3"/>
    <x v="1130"/>
    <x v="51"/>
    <d v="2025-02-25T00:00:00"/>
    <x v="1"/>
    <x v="0"/>
    <x v="1"/>
    <x v="0"/>
    <x v="3"/>
    <x v="5"/>
    <x v="7"/>
    <x v="1"/>
  </r>
  <r>
    <x v="1368"/>
    <x v="10"/>
    <x v="9"/>
    <n v="33.799999999999997"/>
    <x v="900"/>
    <x v="51"/>
    <d v="2025-02-26T00:00:00"/>
    <x v="1"/>
    <x v="0"/>
    <x v="0"/>
    <x v="0"/>
    <x v="3"/>
    <x v="0"/>
    <x v="7"/>
    <x v="1"/>
  </r>
  <r>
    <x v="1369"/>
    <x v="6"/>
    <x v="2"/>
    <n v="63.4"/>
    <x v="1131"/>
    <x v="51"/>
    <d v="2025-02-26T00:00:00"/>
    <x v="1"/>
    <x v="3"/>
    <x v="1"/>
    <x v="0"/>
    <x v="24"/>
    <x v="0"/>
    <x v="7"/>
    <x v="1"/>
  </r>
  <r>
    <x v="1370"/>
    <x v="6"/>
    <x v="2"/>
    <n v="49"/>
    <x v="926"/>
    <x v="51"/>
    <d v="2025-02-25T00:00:00"/>
    <x v="1"/>
    <x v="3"/>
    <x v="0"/>
    <x v="0"/>
    <x v="49"/>
    <x v="5"/>
    <x v="7"/>
    <x v="1"/>
  </r>
  <r>
    <x v="1371"/>
    <x v="1"/>
    <x v="1"/>
    <n v="40"/>
    <x v="479"/>
    <x v="51"/>
    <d v="2025-02-22T00:00:00"/>
    <x v="2"/>
    <x v="4"/>
    <x v="1"/>
    <x v="0"/>
    <x v="23"/>
    <x v="3"/>
    <x v="7"/>
    <x v="2"/>
  </r>
  <r>
    <x v="1372"/>
    <x v="6"/>
    <x v="12"/>
    <n v="86.3"/>
    <x v="1132"/>
    <x v="51"/>
    <d v="2025-02-22T00:00:00"/>
    <x v="3"/>
    <x v="0"/>
    <x v="0"/>
    <x v="0"/>
    <x v="6"/>
    <x v="3"/>
    <x v="7"/>
    <x v="3"/>
  </r>
  <r>
    <x v="1373"/>
    <x v="6"/>
    <x v="0"/>
    <n v="51.6"/>
    <x v="937"/>
    <x v="51"/>
    <d v="2025-02-23T00:00:00"/>
    <x v="2"/>
    <x v="2"/>
    <x v="2"/>
    <x v="0"/>
    <x v="6"/>
    <x v="1"/>
    <x v="7"/>
    <x v="2"/>
  </r>
  <r>
    <x v="1374"/>
    <x v="10"/>
    <x v="2"/>
    <n v="26.7"/>
    <x v="1133"/>
    <x v="51"/>
    <d v="2025-02-26T00:00:00"/>
    <x v="2"/>
    <x v="2"/>
    <x v="1"/>
    <x v="0"/>
    <x v="6"/>
    <x v="0"/>
    <x v="7"/>
    <x v="2"/>
  </r>
  <r>
    <x v="1375"/>
    <x v="18"/>
    <x v="1"/>
    <n v="68.099999999999994"/>
    <x v="1134"/>
    <x v="51"/>
    <d v="2025-02-22T00:00:00"/>
    <x v="1"/>
    <x v="0"/>
    <x v="1"/>
    <x v="0"/>
    <x v="6"/>
    <x v="3"/>
    <x v="7"/>
    <x v="1"/>
  </r>
  <r>
    <x v="1376"/>
    <x v="1"/>
    <x v="0"/>
    <n v="81.7"/>
    <x v="1135"/>
    <x v="51"/>
    <d v="2025-02-22T00:00:00"/>
    <x v="1"/>
    <x v="0"/>
    <x v="0"/>
    <x v="0"/>
    <x v="7"/>
    <x v="3"/>
    <x v="7"/>
    <x v="1"/>
  </r>
  <r>
    <x v="1377"/>
    <x v="18"/>
    <x v="7"/>
    <n v="25.1"/>
    <x v="1136"/>
    <x v="51"/>
    <d v="2025-02-24T00:00:00"/>
    <x v="1"/>
    <x v="3"/>
    <x v="1"/>
    <x v="0"/>
    <x v="8"/>
    <x v="2"/>
    <x v="7"/>
    <x v="1"/>
  </r>
  <r>
    <x v="1378"/>
    <x v="8"/>
    <x v="0"/>
    <n v="20.2"/>
    <x v="1137"/>
    <x v="51"/>
    <d v="2025-02-25T00:00:00"/>
    <x v="2"/>
    <x v="0"/>
    <x v="0"/>
    <x v="0"/>
    <x v="8"/>
    <x v="5"/>
    <x v="7"/>
    <x v="2"/>
  </r>
  <r>
    <x v="1379"/>
    <x v="8"/>
    <x v="2"/>
    <n v="15.4"/>
    <x v="1063"/>
    <x v="51"/>
    <d v="2025-02-22T00:00:00"/>
    <x v="1"/>
    <x v="1"/>
    <x v="2"/>
    <x v="0"/>
    <x v="8"/>
    <x v="3"/>
    <x v="7"/>
    <x v="1"/>
  </r>
  <r>
    <x v="1380"/>
    <x v="10"/>
    <x v="0"/>
    <n v="59.2"/>
    <x v="1100"/>
    <x v="51"/>
    <d v="2025-02-22T00:00:00"/>
    <x v="1"/>
    <x v="2"/>
    <x v="2"/>
    <x v="0"/>
    <x v="17"/>
    <x v="3"/>
    <x v="7"/>
    <x v="1"/>
  </r>
  <r>
    <x v="1381"/>
    <x v="0"/>
    <x v="0"/>
    <n v="46.7"/>
    <x v="594"/>
    <x v="51"/>
    <d v="2025-02-26T00:00:00"/>
    <x v="1"/>
    <x v="0"/>
    <x v="0"/>
    <x v="0"/>
    <x v="17"/>
    <x v="0"/>
    <x v="7"/>
    <x v="1"/>
  </r>
  <r>
    <x v="1382"/>
    <x v="6"/>
    <x v="20"/>
    <n v="41.6"/>
    <x v="1138"/>
    <x v="51"/>
    <d v="2025-02-23T00:00:00"/>
    <x v="1"/>
    <x v="1"/>
    <x v="0"/>
    <x v="0"/>
    <x v="26"/>
    <x v="1"/>
    <x v="7"/>
    <x v="1"/>
  </r>
  <r>
    <x v="1383"/>
    <x v="8"/>
    <x v="1"/>
    <n v="19.2"/>
    <x v="1139"/>
    <x v="51"/>
    <d v="2025-02-24T00:00:00"/>
    <x v="1"/>
    <x v="4"/>
    <x v="2"/>
    <x v="0"/>
    <x v="9"/>
    <x v="2"/>
    <x v="7"/>
    <x v="1"/>
  </r>
  <r>
    <x v="1384"/>
    <x v="17"/>
    <x v="3"/>
    <n v="41.8"/>
    <x v="1140"/>
    <x v="51"/>
    <d v="2025-02-23T00:00:00"/>
    <x v="2"/>
    <x v="2"/>
    <x v="0"/>
    <x v="0"/>
    <x v="11"/>
    <x v="1"/>
    <x v="7"/>
    <x v="2"/>
  </r>
  <r>
    <x v="1385"/>
    <x v="8"/>
    <x v="13"/>
    <n v="37.4"/>
    <x v="1141"/>
    <x v="51"/>
    <d v="2025-02-23T00:00:00"/>
    <x v="1"/>
    <x v="0"/>
    <x v="2"/>
    <x v="0"/>
    <x v="11"/>
    <x v="1"/>
    <x v="7"/>
    <x v="1"/>
  </r>
  <r>
    <x v="1386"/>
    <x v="10"/>
    <x v="2"/>
    <n v="60.2"/>
    <x v="1142"/>
    <x v="51"/>
    <d v="2025-02-24T00:00:00"/>
    <x v="1"/>
    <x v="4"/>
    <x v="1"/>
    <x v="0"/>
    <x v="38"/>
    <x v="2"/>
    <x v="7"/>
    <x v="1"/>
  </r>
  <r>
    <x v="1387"/>
    <x v="9"/>
    <x v="1"/>
    <n v="91.5"/>
    <x v="1143"/>
    <x v="52"/>
    <d v="2025-02-23T00:00:00"/>
    <x v="1"/>
    <x v="0"/>
    <x v="0"/>
    <x v="0"/>
    <x v="13"/>
    <x v="3"/>
    <x v="7"/>
    <x v="1"/>
  </r>
  <r>
    <x v="1388"/>
    <x v="3"/>
    <x v="9"/>
    <n v="55.7"/>
    <x v="1144"/>
    <x v="52"/>
    <d v="2025-02-24T00:00:00"/>
    <x v="0"/>
    <x v="1"/>
    <x v="2"/>
    <x v="0"/>
    <x v="21"/>
    <x v="1"/>
    <x v="7"/>
    <x v="0"/>
  </r>
  <r>
    <x v="1389"/>
    <x v="7"/>
    <x v="1"/>
    <n v="76.7"/>
    <x v="1145"/>
    <x v="52"/>
    <d v="2025-02-24T00:00:00"/>
    <x v="1"/>
    <x v="0"/>
    <x v="1"/>
    <x v="0"/>
    <x v="21"/>
    <x v="1"/>
    <x v="7"/>
    <x v="1"/>
  </r>
  <r>
    <x v="1390"/>
    <x v="8"/>
    <x v="38"/>
    <n v="28.2"/>
    <x v="1146"/>
    <x v="52"/>
    <d v="2025-02-27T00:00:00"/>
    <x v="1"/>
    <x v="2"/>
    <x v="0"/>
    <x v="0"/>
    <x v="1"/>
    <x v="0"/>
    <x v="7"/>
    <x v="1"/>
  </r>
  <r>
    <x v="1391"/>
    <x v="7"/>
    <x v="9"/>
    <n v="93.2"/>
    <x v="1147"/>
    <x v="52"/>
    <d v="2025-02-24T00:00:00"/>
    <x v="2"/>
    <x v="4"/>
    <x v="2"/>
    <x v="0"/>
    <x v="1"/>
    <x v="1"/>
    <x v="7"/>
    <x v="2"/>
  </r>
  <r>
    <x v="1392"/>
    <x v="17"/>
    <x v="0"/>
    <n v="33.299999999999997"/>
    <x v="698"/>
    <x v="52"/>
    <d v="2025-02-23T00:00:00"/>
    <x v="1"/>
    <x v="4"/>
    <x v="0"/>
    <x v="0"/>
    <x v="2"/>
    <x v="3"/>
    <x v="7"/>
    <x v="1"/>
  </r>
  <r>
    <x v="1393"/>
    <x v="10"/>
    <x v="1"/>
    <n v="39.1"/>
    <x v="1148"/>
    <x v="52"/>
    <d v="2025-02-25T00:00:00"/>
    <x v="1"/>
    <x v="0"/>
    <x v="0"/>
    <x v="0"/>
    <x v="44"/>
    <x v="2"/>
    <x v="7"/>
    <x v="1"/>
  </r>
  <r>
    <x v="1394"/>
    <x v="7"/>
    <x v="4"/>
    <n v="45.3"/>
    <x v="1149"/>
    <x v="52"/>
    <d v="2025-02-23T00:00:00"/>
    <x v="1"/>
    <x v="2"/>
    <x v="0"/>
    <x v="0"/>
    <x v="33"/>
    <x v="3"/>
    <x v="7"/>
    <x v="1"/>
  </r>
  <r>
    <x v="1395"/>
    <x v="9"/>
    <x v="3"/>
    <n v="33.9"/>
    <x v="1150"/>
    <x v="52"/>
    <d v="2025-02-23T00:00:00"/>
    <x v="1"/>
    <x v="4"/>
    <x v="0"/>
    <x v="0"/>
    <x v="33"/>
    <x v="3"/>
    <x v="7"/>
    <x v="1"/>
  </r>
  <r>
    <x v="1396"/>
    <x v="8"/>
    <x v="2"/>
    <n v="19"/>
    <x v="933"/>
    <x v="52"/>
    <d v="2025-02-23T00:00:00"/>
    <x v="1"/>
    <x v="0"/>
    <x v="2"/>
    <x v="0"/>
    <x v="15"/>
    <x v="3"/>
    <x v="7"/>
    <x v="1"/>
  </r>
  <r>
    <x v="1397"/>
    <x v="4"/>
    <x v="0"/>
    <n v="41.9"/>
    <x v="1151"/>
    <x v="52"/>
    <d v="2025-02-25T00:00:00"/>
    <x v="2"/>
    <x v="2"/>
    <x v="0"/>
    <x v="0"/>
    <x v="22"/>
    <x v="2"/>
    <x v="7"/>
    <x v="2"/>
  </r>
  <r>
    <x v="1398"/>
    <x v="1"/>
    <x v="12"/>
    <n v="37.5"/>
    <x v="638"/>
    <x v="52"/>
    <d v="2025-02-22T00:00:00"/>
    <x v="2"/>
    <x v="0"/>
    <x v="0"/>
    <x v="0"/>
    <x v="3"/>
    <x v="7"/>
    <x v="7"/>
    <x v="2"/>
  </r>
  <r>
    <x v="1399"/>
    <x v="0"/>
    <x v="1"/>
    <n v="40.799999999999997"/>
    <x v="330"/>
    <x v="52"/>
    <d v="2025-02-25T00:00:00"/>
    <x v="1"/>
    <x v="0"/>
    <x v="0"/>
    <x v="0"/>
    <x v="3"/>
    <x v="2"/>
    <x v="7"/>
    <x v="1"/>
  </r>
  <r>
    <x v="1400"/>
    <x v="0"/>
    <x v="12"/>
    <n v="23.1"/>
    <x v="1152"/>
    <x v="52"/>
    <d v="2025-02-23T00:00:00"/>
    <x v="2"/>
    <x v="4"/>
    <x v="0"/>
    <x v="0"/>
    <x v="3"/>
    <x v="3"/>
    <x v="7"/>
    <x v="2"/>
  </r>
  <r>
    <x v="1401"/>
    <x v="8"/>
    <x v="9"/>
    <n v="39.299999999999997"/>
    <x v="756"/>
    <x v="52"/>
    <d v="2025-02-23T00:00:00"/>
    <x v="2"/>
    <x v="0"/>
    <x v="0"/>
    <x v="0"/>
    <x v="3"/>
    <x v="3"/>
    <x v="7"/>
    <x v="2"/>
  </r>
  <r>
    <x v="1402"/>
    <x v="2"/>
    <x v="12"/>
    <n v="85.2"/>
    <x v="1153"/>
    <x v="52"/>
    <d v="2025-02-27T00:00:00"/>
    <x v="1"/>
    <x v="2"/>
    <x v="0"/>
    <x v="0"/>
    <x v="3"/>
    <x v="0"/>
    <x v="7"/>
    <x v="1"/>
  </r>
  <r>
    <x v="1403"/>
    <x v="8"/>
    <x v="13"/>
    <n v="16"/>
    <x v="854"/>
    <x v="52"/>
    <d v="2025-02-25T00:00:00"/>
    <x v="1"/>
    <x v="1"/>
    <x v="0"/>
    <x v="0"/>
    <x v="3"/>
    <x v="2"/>
    <x v="7"/>
    <x v="1"/>
  </r>
  <r>
    <x v="1404"/>
    <x v="1"/>
    <x v="1"/>
    <n v="33.799999999999997"/>
    <x v="821"/>
    <x v="52"/>
    <d v="2025-02-26T00:00:00"/>
    <x v="2"/>
    <x v="1"/>
    <x v="0"/>
    <x v="0"/>
    <x v="3"/>
    <x v="5"/>
    <x v="7"/>
    <x v="2"/>
  </r>
  <r>
    <x v="1405"/>
    <x v="3"/>
    <x v="0"/>
    <n v="70"/>
    <x v="1154"/>
    <x v="52"/>
    <d v="2025-02-23T00:00:00"/>
    <x v="2"/>
    <x v="0"/>
    <x v="0"/>
    <x v="0"/>
    <x v="3"/>
    <x v="3"/>
    <x v="7"/>
    <x v="2"/>
  </r>
  <r>
    <x v="1406"/>
    <x v="9"/>
    <x v="0"/>
    <n v="88"/>
    <x v="1155"/>
    <x v="52"/>
    <d v="2025-02-27T00:00:00"/>
    <x v="2"/>
    <x v="3"/>
    <x v="0"/>
    <x v="0"/>
    <x v="3"/>
    <x v="0"/>
    <x v="7"/>
    <x v="2"/>
  </r>
  <r>
    <x v="1407"/>
    <x v="2"/>
    <x v="2"/>
    <n v="74.099999999999994"/>
    <x v="1156"/>
    <x v="52"/>
    <d v="2025-02-22T00:00:00"/>
    <x v="1"/>
    <x v="4"/>
    <x v="1"/>
    <x v="0"/>
    <x v="3"/>
    <x v="7"/>
    <x v="7"/>
    <x v="1"/>
  </r>
  <r>
    <x v="1408"/>
    <x v="2"/>
    <x v="0"/>
    <n v="161.9"/>
    <x v="1157"/>
    <x v="52"/>
    <d v="2025-02-24T00:00:00"/>
    <x v="1"/>
    <x v="2"/>
    <x v="0"/>
    <x v="0"/>
    <x v="3"/>
    <x v="1"/>
    <x v="7"/>
    <x v="1"/>
  </r>
  <r>
    <x v="1409"/>
    <x v="4"/>
    <x v="1"/>
    <n v="44"/>
    <x v="1155"/>
    <x v="52"/>
    <d v="2025-02-23T00:00:00"/>
    <x v="3"/>
    <x v="4"/>
    <x v="1"/>
    <x v="0"/>
    <x v="3"/>
    <x v="3"/>
    <x v="7"/>
    <x v="3"/>
  </r>
  <r>
    <x v="1410"/>
    <x v="11"/>
    <x v="0"/>
    <n v="32.1"/>
    <x v="1158"/>
    <x v="52"/>
    <d v="2025-02-22T00:00:00"/>
    <x v="2"/>
    <x v="3"/>
    <x v="3"/>
    <x v="0"/>
    <x v="3"/>
    <x v="7"/>
    <x v="7"/>
    <x v="2"/>
  </r>
  <r>
    <x v="1411"/>
    <x v="2"/>
    <x v="12"/>
    <n v="104.8"/>
    <x v="1159"/>
    <x v="53"/>
    <d v="2025-02-25T00:00:00"/>
    <x v="3"/>
    <x v="0"/>
    <x v="0"/>
    <x v="0"/>
    <x v="3"/>
    <x v="1"/>
    <x v="8"/>
    <x v="3"/>
  </r>
  <r>
    <x v="1412"/>
    <x v="9"/>
    <x v="13"/>
    <n v="67.400000000000006"/>
    <x v="1160"/>
    <x v="53"/>
    <d v="2025-02-24T00:00:00"/>
    <x v="2"/>
    <x v="3"/>
    <x v="0"/>
    <x v="0"/>
    <x v="3"/>
    <x v="3"/>
    <x v="8"/>
    <x v="2"/>
  </r>
  <r>
    <x v="1413"/>
    <x v="6"/>
    <x v="1"/>
    <n v="115.2"/>
    <x v="1161"/>
    <x v="53"/>
    <d v="2025-02-24T00:00:00"/>
    <x v="2"/>
    <x v="1"/>
    <x v="0"/>
    <x v="0"/>
    <x v="4"/>
    <x v="3"/>
    <x v="8"/>
    <x v="2"/>
  </r>
  <r>
    <x v="1414"/>
    <x v="8"/>
    <x v="19"/>
    <n v="15.5"/>
    <x v="148"/>
    <x v="53"/>
    <d v="2025-02-25T00:00:00"/>
    <x v="2"/>
    <x v="0"/>
    <x v="1"/>
    <x v="0"/>
    <x v="23"/>
    <x v="1"/>
    <x v="8"/>
    <x v="2"/>
  </r>
  <r>
    <x v="1415"/>
    <x v="6"/>
    <x v="5"/>
    <n v="66.400000000000006"/>
    <x v="1162"/>
    <x v="53"/>
    <d v="2025-02-25T00:00:00"/>
    <x v="2"/>
    <x v="0"/>
    <x v="0"/>
    <x v="0"/>
    <x v="6"/>
    <x v="1"/>
    <x v="8"/>
    <x v="2"/>
  </r>
  <r>
    <x v="1416"/>
    <x v="9"/>
    <x v="4"/>
    <n v="68.099999999999994"/>
    <x v="1163"/>
    <x v="53"/>
    <d v="2025-02-24T00:00:00"/>
    <x v="2"/>
    <x v="2"/>
    <x v="0"/>
    <x v="0"/>
    <x v="8"/>
    <x v="3"/>
    <x v="8"/>
    <x v="2"/>
  </r>
  <r>
    <x v="1417"/>
    <x v="8"/>
    <x v="9"/>
    <n v="32.5"/>
    <x v="1164"/>
    <x v="53"/>
    <d v="2025-02-27T00:00:00"/>
    <x v="1"/>
    <x v="2"/>
    <x v="1"/>
    <x v="0"/>
    <x v="8"/>
    <x v="5"/>
    <x v="8"/>
    <x v="1"/>
  </r>
  <r>
    <x v="1418"/>
    <x v="15"/>
    <x v="2"/>
    <n v="61.2"/>
    <x v="1165"/>
    <x v="53"/>
    <d v="2025-02-25T00:00:00"/>
    <x v="2"/>
    <x v="1"/>
    <x v="1"/>
    <x v="0"/>
    <x v="8"/>
    <x v="1"/>
    <x v="8"/>
    <x v="2"/>
  </r>
  <r>
    <x v="1419"/>
    <x v="9"/>
    <x v="1"/>
    <n v="54.2"/>
    <x v="1061"/>
    <x v="53"/>
    <d v="2025-02-24T00:00:00"/>
    <x v="2"/>
    <x v="1"/>
    <x v="0"/>
    <x v="0"/>
    <x v="8"/>
    <x v="3"/>
    <x v="8"/>
    <x v="2"/>
  </r>
  <r>
    <x v="1420"/>
    <x v="11"/>
    <x v="8"/>
    <n v="28.7"/>
    <x v="1166"/>
    <x v="53"/>
    <d v="2025-02-25T00:00:00"/>
    <x v="1"/>
    <x v="1"/>
    <x v="0"/>
    <x v="0"/>
    <x v="9"/>
    <x v="1"/>
    <x v="8"/>
    <x v="1"/>
  </r>
  <r>
    <x v="1421"/>
    <x v="12"/>
    <x v="13"/>
    <n v="38.200000000000003"/>
    <x v="1167"/>
    <x v="53"/>
    <d v="2025-02-27T00:00:00"/>
    <x v="2"/>
    <x v="0"/>
    <x v="1"/>
    <x v="0"/>
    <x v="9"/>
    <x v="5"/>
    <x v="8"/>
    <x v="2"/>
  </r>
  <r>
    <x v="1422"/>
    <x v="8"/>
    <x v="4"/>
    <n v="17.600000000000001"/>
    <x v="1168"/>
    <x v="53"/>
    <d v="2025-02-24T00:00:00"/>
    <x v="2"/>
    <x v="2"/>
    <x v="1"/>
    <x v="0"/>
    <x v="9"/>
    <x v="3"/>
    <x v="8"/>
    <x v="2"/>
  </r>
  <r>
    <x v="1423"/>
    <x v="10"/>
    <x v="2"/>
    <n v="74.599999999999994"/>
    <x v="1169"/>
    <x v="53"/>
    <d v="2025-02-23T00:00:00"/>
    <x v="2"/>
    <x v="2"/>
    <x v="0"/>
    <x v="0"/>
    <x v="11"/>
    <x v="7"/>
    <x v="8"/>
    <x v="2"/>
  </r>
  <r>
    <x v="1424"/>
    <x v="16"/>
    <x v="20"/>
    <n v="72.599999999999994"/>
    <x v="1170"/>
    <x v="53"/>
    <d v="2025-02-23T00:00:00"/>
    <x v="0"/>
    <x v="1"/>
    <x v="1"/>
    <x v="0"/>
    <x v="11"/>
    <x v="7"/>
    <x v="8"/>
    <x v="0"/>
  </r>
  <r>
    <x v="1425"/>
    <x v="7"/>
    <x v="0"/>
    <n v="62.3"/>
    <x v="1030"/>
    <x v="53"/>
    <d v="2025-02-24T00:00:00"/>
    <x v="2"/>
    <x v="1"/>
    <x v="0"/>
    <x v="0"/>
    <x v="11"/>
    <x v="3"/>
    <x v="8"/>
    <x v="2"/>
  </r>
  <r>
    <x v="1426"/>
    <x v="3"/>
    <x v="2"/>
    <n v="33.799999999999997"/>
    <x v="1171"/>
    <x v="53"/>
    <d v="2025-02-25T00:00:00"/>
    <x v="1"/>
    <x v="0"/>
    <x v="2"/>
    <x v="0"/>
    <x v="20"/>
    <x v="1"/>
    <x v="8"/>
    <x v="1"/>
  </r>
  <r>
    <x v="1427"/>
    <x v="9"/>
    <x v="0"/>
    <n v="85.7"/>
    <x v="1172"/>
    <x v="53"/>
    <d v="2025-02-26T00:00:00"/>
    <x v="1"/>
    <x v="3"/>
    <x v="1"/>
    <x v="0"/>
    <x v="21"/>
    <x v="2"/>
    <x v="8"/>
    <x v="1"/>
  </r>
  <r>
    <x v="1428"/>
    <x v="6"/>
    <x v="1"/>
    <n v="92.1"/>
    <x v="1173"/>
    <x v="53"/>
    <d v="2025-02-25T00:00:00"/>
    <x v="1"/>
    <x v="1"/>
    <x v="0"/>
    <x v="0"/>
    <x v="21"/>
    <x v="1"/>
    <x v="8"/>
    <x v="1"/>
  </r>
  <r>
    <x v="1429"/>
    <x v="16"/>
    <x v="2"/>
    <n v="65.099999999999994"/>
    <x v="1174"/>
    <x v="53"/>
    <d v="2025-02-26T00:00:00"/>
    <x v="1"/>
    <x v="0"/>
    <x v="0"/>
    <x v="0"/>
    <x v="1"/>
    <x v="2"/>
    <x v="8"/>
    <x v="1"/>
  </r>
  <r>
    <x v="1430"/>
    <x v="9"/>
    <x v="3"/>
    <n v="20.3"/>
    <x v="1175"/>
    <x v="53"/>
    <d v="2025-02-24T00:00:00"/>
    <x v="2"/>
    <x v="2"/>
    <x v="2"/>
    <x v="0"/>
    <x v="2"/>
    <x v="3"/>
    <x v="8"/>
    <x v="2"/>
  </r>
  <r>
    <x v="1431"/>
    <x v="19"/>
    <x v="1"/>
    <n v="29.8"/>
    <x v="1176"/>
    <x v="53"/>
    <d v="2025-02-25T00:00:00"/>
    <x v="2"/>
    <x v="1"/>
    <x v="2"/>
    <x v="0"/>
    <x v="34"/>
    <x v="1"/>
    <x v="8"/>
    <x v="2"/>
  </r>
  <r>
    <x v="1432"/>
    <x v="0"/>
    <x v="1"/>
    <n v="24.2"/>
    <x v="655"/>
    <x v="53"/>
    <d v="2025-02-25T00:00:00"/>
    <x v="2"/>
    <x v="3"/>
    <x v="2"/>
    <x v="0"/>
    <x v="3"/>
    <x v="1"/>
    <x v="8"/>
    <x v="2"/>
  </r>
  <r>
    <x v="1433"/>
    <x v="3"/>
    <x v="0"/>
    <n v="57.3"/>
    <x v="1177"/>
    <x v="53"/>
    <d v="2025-02-25T00:00:00"/>
    <x v="1"/>
    <x v="0"/>
    <x v="0"/>
    <x v="0"/>
    <x v="3"/>
    <x v="1"/>
    <x v="8"/>
    <x v="1"/>
  </r>
  <r>
    <x v="1434"/>
    <x v="2"/>
    <x v="0"/>
    <n v="108.9"/>
    <x v="1178"/>
    <x v="53"/>
    <d v="2025-02-25T00:00:00"/>
    <x v="2"/>
    <x v="1"/>
    <x v="0"/>
    <x v="0"/>
    <x v="3"/>
    <x v="1"/>
    <x v="8"/>
    <x v="2"/>
  </r>
  <r>
    <x v="1435"/>
    <x v="7"/>
    <x v="9"/>
    <n v="50.7"/>
    <x v="103"/>
    <x v="53"/>
    <d v="2025-02-24T00:00:00"/>
    <x v="2"/>
    <x v="0"/>
    <x v="0"/>
    <x v="0"/>
    <x v="3"/>
    <x v="3"/>
    <x v="8"/>
    <x v="2"/>
  </r>
  <r>
    <x v="1436"/>
    <x v="7"/>
    <x v="11"/>
    <n v="66.099999999999994"/>
    <x v="1179"/>
    <x v="53"/>
    <d v="2025-03-09T00:00:00"/>
    <x v="2"/>
    <x v="1"/>
    <x v="0"/>
    <x v="0"/>
    <x v="3"/>
    <x v="12"/>
    <x v="8"/>
    <x v="2"/>
  </r>
  <r>
    <x v="1437"/>
    <x v="12"/>
    <x v="9"/>
    <n v="36.700000000000003"/>
    <x v="1180"/>
    <x v="53"/>
    <d v="2025-02-27T00:00:00"/>
    <x v="2"/>
    <x v="4"/>
    <x v="0"/>
    <x v="0"/>
    <x v="3"/>
    <x v="5"/>
    <x v="8"/>
    <x v="2"/>
  </r>
  <r>
    <x v="1438"/>
    <x v="8"/>
    <x v="14"/>
    <n v="19.3"/>
    <x v="1181"/>
    <x v="53"/>
    <d v="2025-02-25T00:00:00"/>
    <x v="1"/>
    <x v="0"/>
    <x v="0"/>
    <x v="0"/>
    <x v="43"/>
    <x v="1"/>
    <x v="8"/>
    <x v="1"/>
  </r>
  <r>
    <x v="1439"/>
    <x v="8"/>
    <x v="12"/>
    <n v="20.7"/>
    <x v="1182"/>
    <x v="53"/>
    <d v="2025-02-24T00:00:00"/>
    <x v="1"/>
    <x v="1"/>
    <x v="2"/>
    <x v="0"/>
    <x v="6"/>
    <x v="3"/>
    <x v="8"/>
    <x v="1"/>
  </r>
  <r>
    <x v="1440"/>
    <x v="5"/>
    <x v="2"/>
    <n v="54.7"/>
    <x v="1183"/>
    <x v="53"/>
    <d v="2025-02-23T00:00:00"/>
    <x v="3"/>
    <x v="1"/>
    <x v="4"/>
    <x v="0"/>
    <x v="6"/>
    <x v="7"/>
    <x v="8"/>
    <x v="3"/>
  </r>
  <r>
    <x v="1441"/>
    <x v="4"/>
    <x v="1"/>
    <n v="19.8"/>
    <x v="341"/>
    <x v="53"/>
    <d v="2025-02-27T00:00:00"/>
    <x v="2"/>
    <x v="4"/>
    <x v="1"/>
    <x v="0"/>
    <x v="8"/>
    <x v="5"/>
    <x v="8"/>
    <x v="2"/>
  </r>
  <r>
    <x v="1442"/>
    <x v="7"/>
    <x v="0"/>
    <n v="41.1"/>
    <x v="1184"/>
    <x v="53"/>
    <d v="2025-02-25T00:00:00"/>
    <x v="2"/>
    <x v="0"/>
    <x v="2"/>
    <x v="0"/>
    <x v="8"/>
    <x v="1"/>
    <x v="8"/>
    <x v="2"/>
  </r>
  <r>
    <x v="1443"/>
    <x v="11"/>
    <x v="8"/>
    <n v="43.5"/>
    <x v="1185"/>
    <x v="53"/>
    <d v="2025-02-27T00:00:00"/>
    <x v="2"/>
    <x v="3"/>
    <x v="0"/>
    <x v="0"/>
    <x v="8"/>
    <x v="5"/>
    <x v="8"/>
    <x v="2"/>
  </r>
  <r>
    <x v="1444"/>
    <x v="8"/>
    <x v="21"/>
    <n v="19"/>
    <x v="751"/>
    <x v="53"/>
    <d v="2025-02-24T00:00:00"/>
    <x v="1"/>
    <x v="0"/>
    <x v="0"/>
    <x v="0"/>
    <x v="26"/>
    <x v="3"/>
    <x v="8"/>
    <x v="1"/>
  </r>
  <r>
    <x v="1445"/>
    <x v="2"/>
    <x v="12"/>
    <n v="51.4"/>
    <x v="1186"/>
    <x v="53"/>
    <d v="2025-02-23T00:00:00"/>
    <x v="2"/>
    <x v="0"/>
    <x v="0"/>
    <x v="0"/>
    <x v="26"/>
    <x v="7"/>
    <x v="8"/>
    <x v="2"/>
  </r>
  <r>
    <x v="1446"/>
    <x v="10"/>
    <x v="1"/>
    <n v="39.799999999999997"/>
    <x v="1187"/>
    <x v="53"/>
    <d v="2025-02-26T00:00:00"/>
    <x v="1"/>
    <x v="3"/>
    <x v="1"/>
    <x v="0"/>
    <x v="13"/>
    <x v="2"/>
    <x v="8"/>
    <x v="1"/>
  </r>
  <r>
    <x v="1447"/>
    <x v="6"/>
    <x v="9"/>
    <n v="61"/>
    <x v="1188"/>
    <x v="53"/>
    <d v="2025-02-24T00:00:00"/>
    <x v="0"/>
    <x v="0"/>
    <x v="2"/>
    <x v="0"/>
    <x v="21"/>
    <x v="3"/>
    <x v="8"/>
    <x v="0"/>
  </r>
  <r>
    <x v="1448"/>
    <x v="8"/>
    <x v="5"/>
    <n v="15.1"/>
    <x v="1189"/>
    <x v="54"/>
    <d v="2025-03-01T00:00:00"/>
    <x v="1"/>
    <x v="3"/>
    <x v="2"/>
    <x v="0"/>
    <x v="2"/>
    <x v="0"/>
    <x v="8"/>
    <x v="1"/>
  </r>
  <r>
    <x v="1449"/>
    <x v="1"/>
    <x v="3"/>
    <n v="71.3"/>
    <x v="1190"/>
    <x v="54"/>
    <d v="2025-02-25T00:00:00"/>
    <x v="1"/>
    <x v="4"/>
    <x v="0"/>
    <x v="0"/>
    <x v="3"/>
    <x v="3"/>
    <x v="8"/>
    <x v="1"/>
  </r>
  <r>
    <x v="1450"/>
    <x v="10"/>
    <x v="0"/>
    <n v="25.8"/>
    <x v="1191"/>
    <x v="54"/>
    <d v="2025-02-26T00:00:00"/>
    <x v="2"/>
    <x v="0"/>
    <x v="2"/>
    <x v="0"/>
    <x v="3"/>
    <x v="1"/>
    <x v="8"/>
    <x v="2"/>
  </r>
  <r>
    <x v="1451"/>
    <x v="8"/>
    <x v="9"/>
    <n v="39.6"/>
    <x v="1192"/>
    <x v="54"/>
    <d v="2025-02-26T00:00:00"/>
    <x v="1"/>
    <x v="1"/>
    <x v="2"/>
    <x v="0"/>
    <x v="3"/>
    <x v="1"/>
    <x v="8"/>
    <x v="1"/>
  </r>
  <r>
    <x v="1452"/>
    <x v="5"/>
    <x v="1"/>
    <n v="64"/>
    <x v="1193"/>
    <x v="54"/>
    <d v="2025-02-24T00:00:00"/>
    <x v="1"/>
    <x v="1"/>
    <x v="1"/>
    <x v="0"/>
    <x v="3"/>
    <x v="7"/>
    <x v="8"/>
    <x v="1"/>
  </r>
  <r>
    <x v="1453"/>
    <x v="8"/>
    <x v="1"/>
    <n v="30.6"/>
    <x v="1"/>
    <x v="54"/>
    <d v="2025-02-27T00:00:00"/>
    <x v="1"/>
    <x v="0"/>
    <x v="2"/>
    <x v="0"/>
    <x v="3"/>
    <x v="2"/>
    <x v="8"/>
    <x v="1"/>
  </r>
  <r>
    <x v="1454"/>
    <x v="8"/>
    <x v="1"/>
    <n v="21.3"/>
    <x v="440"/>
    <x v="54"/>
    <d v="2025-02-25T00:00:00"/>
    <x v="1"/>
    <x v="0"/>
    <x v="1"/>
    <x v="0"/>
    <x v="3"/>
    <x v="3"/>
    <x v="8"/>
    <x v="1"/>
  </r>
  <r>
    <x v="1455"/>
    <x v="7"/>
    <x v="0"/>
    <n v="40.799999999999997"/>
    <x v="803"/>
    <x v="54"/>
    <d v="2025-02-26T00:00:00"/>
    <x v="2"/>
    <x v="4"/>
    <x v="0"/>
    <x v="0"/>
    <x v="3"/>
    <x v="1"/>
    <x v="8"/>
    <x v="2"/>
  </r>
  <r>
    <x v="1456"/>
    <x v="9"/>
    <x v="12"/>
    <n v="27.7"/>
    <x v="806"/>
    <x v="54"/>
    <d v="2025-02-25T00:00:00"/>
    <x v="2"/>
    <x v="0"/>
    <x v="1"/>
    <x v="0"/>
    <x v="3"/>
    <x v="3"/>
    <x v="8"/>
    <x v="2"/>
  </r>
  <r>
    <x v="1457"/>
    <x v="6"/>
    <x v="1"/>
    <n v="64.599999999999994"/>
    <x v="769"/>
    <x v="54"/>
    <d v="2025-02-25T00:00:00"/>
    <x v="1"/>
    <x v="0"/>
    <x v="1"/>
    <x v="0"/>
    <x v="3"/>
    <x v="3"/>
    <x v="8"/>
    <x v="1"/>
  </r>
  <r>
    <x v="1458"/>
    <x v="6"/>
    <x v="27"/>
    <n v="91.1"/>
    <x v="1194"/>
    <x v="54"/>
    <d v="2025-02-25T00:00:00"/>
    <x v="2"/>
    <x v="1"/>
    <x v="2"/>
    <x v="0"/>
    <x v="3"/>
    <x v="3"/>
    <x v="8"/>
    <x v="2"/>
  </r>
  <r>
    <x v="1459"/>
    <x v="1"/>
    <x v="0"/>
    <n v="39.5"/>
    <x v="736"/>
    <x v="54"/>
    <d v="2025-03-04T00:00:00"/>
    <x v="2"/>
    <x v="0"/>
    <x v="0"/>
    <x v="0"/>
    <x v="3"/>
    <x v="9"/>
    <x v="8"/>
    <x v="2"/>
  </r>
  <r>
    <x v="1460"/>
    <x v="9"/>
    <x v="1"/>
    <n v="21.8"/>
    <x v="1195"/>
    <x v="54"/>
    <d v="2025-02-28T00:00:00"/>
    <x v="1"/>
    <x v="4"/>
    <x v="2"/>
    <x v="0"/>
    <x v="3"/>
    <x v="5"/>
    <x v="8"/>
    <x v="1"/>
  </r>
  <r>
    <x v="1461"/>
    <x v="8"/>
    <x v="1"/>
    <n v="51"/>
    <x v="1062"/>
    <x v="54"/>
    <d v="2025-02-27T00:00:00"/>
    <x v="1"/>
    <x v="3"/>
    <x v="2"/>
    <x v="0"/>
    <x v="3"/>
    <x v="2"/>
    <x v="8"/>
    <x v="1"/>
  </r>
  <r>
    <x v="1462"/>
    <x v="2"/>
    <x v="0"/>
    <n v="92.6"/>
    <x v="1196"/>
    <x v="54"/>
    <d v="2025-02-27T00:00:00"/>
    <x v="2"/>
    <x v="0"/>
    <x v="2"/>
    <x v="0"/>
    <x v="35"/>
    <x v="2"/>
    <x v="8"/>
    <x v="2"/>
  </r>
  <r>
    <x v="1463"/>
    <x v="9"/>
    <x v="1"/>
    <n v="31.1"/>
    <x v="1197"/>
    <x v="54"/>
    <d v="2025-03-01T00:00:00"/>
    <x v="0"/>
    <x v="1"/>
    <x v="3"/>
    <x v="0"/>
    <x v="23"/>
    <x v="0"/>
    <x v="8"/>
    <x v="0"/>
  </r>
  <r>
    <x v="1464"/>
    <x v="5"/>
    <x v="2"/>
    <n v="56.4"/>
    <x v="362"/>
    <x v="54"/>
    <d v="2025-02-25T00:00:00"/>
    <x v="0"/>
    <x v="1"/>
    <x v="0"/>
    <x v="0"/>
    <x v="6"/>
    <x v="3"/>
    <x v="8"/>
    <x v="0"/>
  </r>
  <r>
    <x v="1465"/>
    <x v="9"/>
    <x v="0"/>
    <n v="41.9"/>
    <x v="1151"/>
    <x v="54"/>
    <d v="2025-02-24T00:00:00"/>
    <x v="1"/>
    <x v="1"/>
    <x v="0"/>
    <x v="0"/>
    <x v="6"/>
    <x v="7"/>
    <x v="8"/>
    <x v="1"/>
  </r>
  <r>
    <x v="1466"/>
    <x v="10"/>
    <x v="3"/>
    <n v="45.9"/>
    <x v="1198"/>
    <x v="54"/>
    <d v="2025-02-25T00:00:00"/>
    <x v="1"/>
    <x v="3"/>
    <x v="2"/>
    <x v="0"/>
    <x v="8"/>
    <x v="3"/>
    <x v="8"/>
    <x v="1"/>
  </r>
  <r>
    <x v="1467"/>
    <x v="14"/>
    <x v="11"/>
    <n v="24.4"/>
    <x v="1199"/>
    <x v="54"/>
    <d v="2025-02-28T00:00:00"/>
    <x v="1"/>
    <x v="3"/>
    <x v="2"/>
    <x v="0"/>
    <x v="8"/>
    <x v="5"/>
    <x v="8"/>
    <x v="1"/>
  </r>
  <r>
    <x v="1468"/>
    <x v="8"/>
    <x v="0"/>
    <n v="18.2"/>
    <x v="1200"/>
    <x v="54"/>
    <d v="2025-02-25T00:00:00"/>
    <x v="2"/>
    <x v="2"/>
    <x v="2"/>
    <x v="0"/>
    <x v="8"/>
    <x v="3"/>
    <x v="8"/>
    <x v="2"/>
  </r>
  <r>
    <x v="1469"/>
    <x v="8"/>
    <x v="12"/>
    <n v="51.2"/>
    <x v="403"/>
    <x v="54"/>
    <d v="2025-02-25T00:00:00"/>
    <x v="2"/>
    <x v="0"/>
    <x v="0"/>
    <x v="0"/>
    <x v="8"/>
    <x v="3"/>
    <x v="8"/>
    <x v="2"/>
  </r>
  <r>
    <x v="1470"/>
    <x v="6"/>
    <x v="0"/>
    <n v="59.7"/>
    <x v="1201"/>
    <x v="54"/>
    <d v="2025-02-27T00:00:00"/>
    <x v="1"/>
    <x v="0"/>
    <x v="2"/>
    <x v="0"/>
    <x v="8"/>
    <x v="2"/>
    <x v="8"/>
    <x v="1"/>
  </r>
  <r>
    <x v="1471"/>
    <x v="4"/>
    <x v="1"/>
    <n v="33.6"/>
    <x v="863"/>
    <x v="54"/>
    <d v="2025-02-26T00:00:00"/>
    <x v="2"/>
    <x v="0"/>
    <x v="0"/>
    <x v="0"/>
    <x v="17"/>
    <x v="1"/>
    <x v="8"/>
    <x v="2"/>
  </r>
  <r>
    <x v="1472"/>
    <x v="12"/>
    <x v="0"/>
    <n v="90.4"/>
    <x v="786"/>
    <x v="54"/>
    <d v="2025-02-28T00:00:00"/>
    <x v="1"/>
    <x v="1"/>
    <x v="2"/>
    <x v="0"/>
    <x v="10"/>
    <x v="5"/>
    <x v="8"/>
    <x v="1"/>
  </r>
  <r>
    <x v="1473"/>
    <x v="11"/>
    <x v="2"/>
    <n v="70.3"/>
    <x v="1202"/>
    <x v="54"/>
    <d v="2025-02-24T00:00:00"/>
    <x v="1"/>
    <x v="1"/>
    <x v="2"/>
    <x v="0"/>
    <x v="11"/>
    <x v="7"/>
    <x v="8"/>
    <x v="1"/>
  </r>
  <r>
    <x v="1474"/>
    <x v="4"/>
    <x v="1"/>
    <n v="20.5"/>
    <x v="783"/>
    <x v="54"/>
    <d v="2025-02-27T00:00:00"/>
    <x v="2"/>
    <x v="0"/>
    <x v="1"/>
    <x v="0"/>
    <x v="11"/>
    <x v="2"/>
    <x v="8"/>
    <x v="2"/>
  </r>
  <r>
    <x v="1475"/>
    <x v="5"/>
    <x v="5"/>
    <n v="37.6"/>
    <x v="1203"/>
    <x v="54"/>
    <d v="2025-02-25T00:00:00"/>
    <x v="1"/>
    <x v="0"/>
    <x v="0"/>
    <x v="0"/>
    <x v="38"/>
    <x v="3"/>
    <x v="8"/>
    <x v="1"/>
  </r>
  <r>
    <x v="1476"/>
    <x v="5"/>
    <x v="12"/>
    <n v="61.5"/>
    <x v="1204"/>
    <x v="54"/>
    <d v="2025-03-03T00:00:00"/>
    <x v="2"/>
    <x v="1"/>
    <x v="4"/>
    <x v="0"/>
    <x v="13"/>
    <x v="6"/>
    <x v="8"/>
    <x v="2"/>
  </r>
  <r>
    <x v="1477"/>
    <x v="9"/>
    <x v="0"/>
    <n v="33.5"/>
    <x v="253"/>
    <x v="55"/>
    <d v="2025-03-01T00:00:00"/>
    <x v="1"/>
    <x v="4"/>
    <x v="1"/>
    <x v="0"/>
    <x v="21"/>
    <x v="5"/>
    <x v="8"/>
    <x v="1"/>
  </r>
  <r>
    <x v="1478"/>
    <x v="4"/>
    <x v="2"/>
    <n v="29.3"/>
    <x v="1205"/>
    <x v="55"/>
    <d v="2025-02-27T00:00:00"/>
    <x v="2"/>
    <x v="1"/>
    <x v="2"/>
    <x v="0"/>
    <x v="1"/>
    <x v="1"/>
    <x v="8"/>
    <x v="2"/>
  </r>
  <r>
    <x v="1479"/>
    <x v="2"/>
    <x v="1"/>
    <n v="125.9"/>
    <x v="1206"/>
    <x v="55"/>
    <d v="2025-03-02T00:00:00"/>
    <x v="2"/>
    <x v="4"/>
    <x v="1"/>
    <x v="0"/>
    <x v="1"/>
    <x v="0"/>
    <x v="8"/>
    <x v="2"/>
  </r>
  <r>
    <x v="1480"/>
    <x v="5"/>
    <x v="9"/>
    <n v="29.3"/>
    <x v="1207"/>
    <x v="55"/>
    <d v="2025-02-25T00:00:00"/>
    <x v="1"/>
    <x v="2"/>
    <x v="0"/>
    <x v="0"/>
    <x v="44"/>
    <x v="7"/>
    <x v="8"/>
    <x v="1"/>
  </r>
  <r>
    <x v="1481"/>
    <x v="9"/>
    <x v="0"/>
    <n v="37.799999999999997"/>
    <x v="463"/>
    <x v="55"/>
    <d v="2025-02-28T00:00:00"/>
    <x v="2"/>
    <x v="0"/>
    <x v="2"/>
    <x v="0"/>
    <x v="3"/>
    <x v="2"/>
    <x v="8"/>
    <x v="2"/>
  </r>
  <r>
    <x v="1482"/>
    <x v="0"/>
    <x v="12"/>
    <n v="31.7"/>
    <x v="1208"/>
    <x v="55"/>
    <d v="2025-02-26T00:00:00"/>
    <x v="1"/>
    <x v="2"/>
    <x v="2"/>
    <x v="0"/>
    <x v="3"/>
    <x v="3"/>
    <x v="8"/>
    <x v="1"/>
  </r>
  <r>
    <x v="1483"/>
    <x v="8"/>
    <x v="9"/>
    <n v="26.3"/>
    <x v="1209"/>
    <x v="55"/>
    <d v="2025-02-26T00:00:00"/>
    <x v="2"/>
    <x v="3"/>
    <x v="2"/>
    <x v="0"/>
    <x v="3"/>
    <x v="3"/>
    <x v="8"/>
    <x v="2"/>
  </r>
  <r>
    <x v="1484"/>
    <x v="8"/>
    <x v="2"/>
    <n v="23.1"/>
    <x v="59"/>
    <x v="55"/>
    <d v="2025-02-26T00:00:00"/>
    <x v="3"/>
    <x v="2"/>
    <x v="1"/>
    <x v="0"/>
    <x v="3"/>
    <x v="3"/>
    <x v="8"/>
    <x v="3"/>
  </r>
  <r>
    <x v="1485"/>
    <x v="4"/>
    <x v="0"/>
    <n v="22.3"/>
    <x v="968"/>
    <x v="55"/>
    <d v="2025-02-27T00:00:00"/>
    <x v="2"/>
    <x v="2"/>
    <x v="0"/>
    <x v="0"/>
    <x v="3"/>
    <x v="1"/>
    <x v="8"/>
    <x v="2"/>
  </r>
  <r>
    <x v="1486"/>
    <x v="12"/>
    <x v="1"/>
    <n v="99.5"/>
    <x v="1210"/>
    <x v="55"/>
    <d v="2025-02-27T00:00:00"/>
    <x v="2"/>
    <x v="2"/>
    <x v="0"/>
    <x v="0"/>
    <x v="3"/>
    <x v="1"/>
    <x v="8"/>
    <x v="2"/>
  </r>
  <r>
    <x v="1487"/>
    <x v="12"/>
    <x v="12"/>
    <n v="47.4"/>
    <x v="455"/>
    <x v="55"/>
    <d v="2025-02-28T00:00:00"/>
    <x v="2"/>
    <x v="1"/>
    <x v="0"/>
    <x v="0"/>
    <x v="3"/>
    <x v="2"/>
    <x v="8"/>
    <x v="2"/>
  </r>
  <r>
    <x v="1488"/>
    <x v="0"/>
    <x v="5"/>
    <n v="37.5"/>
    <x v="1211"/>
    <x v="55"/>
    <d v="2025-02-27T00:00:00"/>
    <x v="2"/>
    <x v="0"/>
    <x v="3"/>
    <x v="0"/>
    <x v="3"/>
    <x v="1"/>
    <x v="8"/>
    <x v="2"/>
  </r>
  <r>
    <x v="1489"/>
    <x v="10"/>
    <x v="0"/>
    <n v="45.1"/>
    <x v="1212"/>
    <x v="55"/>
    <d v="2025-03-02T00:00:00"/>
    <x v="1"/>
    <x v="3"/>
    <x v="2"/>
    <x v="0"/>
    <x v="24"/>
    <x v="0"/>
    <x v="8"/>
    <x v="1"/>
  </r>
  <r>
    <x v="1490"/>
    <x v="5"/>
    <x v="7"/>
    <n v="34.4"/>
    <x v="1213"/>
    <x v="55"/>
    <d v="2025-02-28T00:00:00"/>
    <x v="1"/>
    <x v="2"/>
    <x v="0"/>
    <x v="0"/>
    <x v="16"/>
    <x v="2"/>
    <x v="8"/>
    <x v="1"/>
  </r>
  <r>
    <x v="1491"/>
    <x v="4"/>
    <x v="1"/>
    <n v="38"/>
    <x v="998"/>
    <x v="55"/>
    <d v="2025-02-27T00:00:00"/>
    <x v="2"/>
    <x v="1"/>
    <x v="0"/>
    <x v="0"/>
    <x v="5"/>
    <x v="1"/>
    <x v="8"/>
    <x v="2"/>
  </r>
  <r>
    <x v="1492"/>
    <x v="3"/>
    <x v="21"/>
    <n v="32.4"/>
    <x v="1214"/>
    <x v="55"/>
    <d v="2025-02-28T00:00:00"/>
    <x v="1"/>
    <x v="4"/>
    <x v="0"/>
    <x v="0"/>
    <x v="6"/>
    <x v="2"/>
    <x v="8"/>
    <x v="1"/>
  </r>
  <r>
    <x v="1493"/>
    <x v="6"/>
    <x v="2"/>
    <n v="40.9"/>
    <x v="544"/>
    <x v="55"/>
    <d v="2025-02-25T00:00:00"/>
    <x v="0"/>
    <x v="1"/>
    <x v="0"/>
    <x v="0"/>
    <x v="8"/>
    <x v="7"/>
    <x v="8"/>
    <x v="0"/>
  </r>
  <r>
    <x v="1494"/>
    <x v="7"/>
    <x v="3"/>
    <n v="76.2"/>
    <x v="1215"/>
    <x v="55"/>
    <d v="2025-02-27T00:00:00"/>
    <x v="2"/>
    <x v="2"/>
    <x v="1"/>
    <x v="0"/>
    <x v="8"/>
    <x v="1"/>
    <x v="8"/>
    <x v="2"/>
  </r>
  <r>
    <x v="1495"/>
    <x v="2"/>
    <x v="0"/>
    <n v="85.6"/>
    <x v="1216"/>
    <x v="55"/>
    <d v="2025-02-27T00:00:00"/>
    <x v="1"/>
    <x v="2"/>
    <x v="0"/>
    <x v="0"/>
    <x v="8"/>
    <x v="1"/>
    <x v="8"/>
    <x v="1"/>
  </r>
  <r>
    <x v="1496"/>
    <x v="4"/>
    <x v="12"/>
    <n v="25"/>
    <x v="1217"/>
    <x v="55"/>
    <d v="2025-02-27T00:00:00"/>
    <x v="2"/>
    <x v="2"/>
    <x v="2"/>
    <x v="0"/>
    <x v="8"/>
    <x v="1"/>
    <x v="8"/>
    <x v="2"/>
  </r>
  <r>
    <x v="1497"/>
    <x v="2"/>
    <x v="9"/>
    <n v="150.69999999999999"/>
    <x v="1218"/>
    <x v="55"/>
    <d v="2025-02-26T00:00:00"/>
    <x v="0"/>
    <x v="0"/>
    <x v="2"/>
    <x v="0"/>
    <x v="8"/>
    <x v="3"/>
    <x v="8"/>
    <x v="0"/>
  </r>
  <r>
    <x v="1498"/>
    <x v="8"/>
    <x v="0"/>
    <n v="19.600000000000001"/>
    <x v="1219"/>
    <x v="55"/>
    <d v="2025-02-26T00:00:00"/>
    <x v="1"/>
    <x v="1"/>
    <x v="4"/>
    <x v="0"/>
    <x v="8"/>
    <x v="3"/>
    <x v="8"/>
    <x v="1"/>
  </r>
  <r>
    <x v="1499"/>
    <x v="13"/>
    <x v="1"/>
    <n v="37.5"/>
    <x v="611"/>
    <x v="55"/>
    <d v="2025-02-28T00:00:00"/>
    <x v="2"/>
    <x v="1"/>
    <x v="2"/>
    <x v="0"/>
    <x v="17"/>
    <x v="2"/>
    <x v="8"/>
    <x v="2"/>
  </r>
  <r>
    <x v="1500"/>
    <x v="9"/>
    <x v="2"/>
    <n v="51.9"/>
    <x v="515"/>
    <x v="55"/>
    <d v="2025-03-03T00:00:00"/>
    <x v="2"/>
    <x v="0"/>
    <x v="4"/>
    <x v="0"/>
    <x v="11"/>
    <x v="4"/>
    <x v="8"/>
    <x v="2"/>
  </r>
  <r>
    <x v="1501"/>
    <x v="1"/>
    <x v="1"/>
    <n v="30.9"/>
    <x v="546"/>
    <x v="55"/>
    <d v="2025-02-27T00:00:00"/>
    <x v="2"/>
    <x v="1"/>
    <x v="0"/>
    <x v="0"/>
    <x v="18"/>
    <x v="1"/>
    <x v="8"/>
    <x v="2"/>
  </r>
  <r>
    <x v="1502"/>
    <x v="4"/>
    <x v="2"/>
    <n v="21.2"/>
    <x v="1220"/>
    <x v="55"/>
    <d v="2025-02-28T00:00:00"/>
    <x v="2"/>
    <x v="1"/>
    <x v="0"/>
    <x v="0"/>
    <x v="19"/>
    <x v="2"/>
    <x v="8"/>
    <x v="2"/>
  </r>
  <r>
    <x v="1503"/>
    <x v="13"/>
    <x v="14"/>
    <n v="17.5"/>
    <x v="1221"/>
    <x v="55"/>
    <d v="2025-02-26T00:00:00"/>
    <x v="1"/>
    <x v="1"/>
    <x v="1"/>
    <x v="0"/>
    <x v="13"/>
    <x v="3"/>
    <x v="8"/>
    <x v="1"/>
  </r>
  <r>
    <x v="1504"/>
    <x v="12"/>
    <x v="1"/>
    <n v="53.8"/>
    <x v="799"/>
    <x v="55"/>
    <d v="2025-03-02T00:00:00"/>
    <x v="2"/>
    <x v="0"/>
    <x v="2"/>
    <x v="0"/>
    <x v="21"/>
    <x v="0"/>
    <x v="8"/>
    <x v="2"/>
  </r>
  <r>
    <x v="1505"/>
    <x v="19"/>
    <x v="1"/>
    <n v="17"/>
    <x v="1222"/>
    <x v="55"/>
    <d v="2025-02-26T00:00:00"/>
    <x v="1"/>
    <x v="3"/>
    <x v="0"/>
    <x v="0"/>
    <x v="21"/>
    <x v="3"/>
    <x v="8"/>
    <x v="1"/>
  </r>
  <r>
    <x v="1506"/>
    <x v="6"/>
    <x v="0"/>
    <n v="103.2"/>
    <x v="1223"/>
    <x v="55"/>
    <d v="2025-03-05T00:00:00"/>
    <x v="1"/>
    <x v="2"/>
    <x v="1"/>
    <x v="0"/>
    <x v="1"/>
    <x v="9"/>
    <x v="8"/>
    <x v="1"/>
  </r>
  <r>
    <x v="1507"/>
    <x v="6"/>
    <x v="12"/>
    <n v="70.3"/>
    <x v="552"/>
    <x v="55"/>
    <d v="2025-02-26T00:00:00"/>
    <x v="1"/>
    <x v="0"/>
    <x v="0"/>
    <x v="0"/>
    <x v="3"/>
    <x v="3"/>
    <x v="8"/>
    <x v="1"/>
  </r>
  <r>
    <x v="1508"/>
    <x v="2"/>
    <x v="1"/>
    <n v="73.8"/>
    <x v="1224"/>
    <x v="55"/>
    <d v="2025-02-25T00:00:00"/>
    <x v="1"/>
    <x v="3"/>
    <x v="2"/>
    <x v="0"/>
    <x v="3"/>
    <x v="7"/>
    <x v="8"/>
    <x v="1"/>
  </r>
  <r>
    <x v="1509"/>
    <x v="1"/>
    <x v="4"/>
    <n v="67.7"/>
    <x v="1225"/>
    <x v="55"/>
    <d v="2025-03-01T00:00:00"/>
    <x v="1"/>
    <x v="1"/>
    <x v="1"/>
    <x v="0"/>
    <x v="3"/>
    <x v="5"/>
    <x v="8"/>
    <x v="1"/>
  </r>
  <r>
    <x v="1510"/>
    <x v="13"/>
    <x v="3"/>
    <n v="43.8"/>
    <x v="1226"/>
    <x v="55"/>
    <d v="2025-02-27T00:00:00"/>
    <x v="1"/>
    <x v="1"/>
    <x v="0"/>
    <x v="0"/>
    <x v="3"/>
    <x v="1"/>
    <x v="8"/>
    <x v="1"/>
  </r>
  <r>
    <x v="1511"/>
    <x v="17"/>
    <x v="13"/>
    <n v="71.900000000000006"/>
    <x v="1227"/>
    <x v="55"/>
    <d v="2025-02-26T00:00:00"/>
    <x v="2"/>
    <x v="2"/>
    <x v="0"/>
    <x v="0"/>
    <x v="3"/>
    <x v="3"/>
    <x v="8"/>
    <x v="2"/>
  </r>
  <r>
    <x v="1512"/>
    <x v="8"/>
    <x v="1"/>
    <n v="26.3"/>
    <x v="1228"/>
    <x v="56"/>
    <d v="2025-02-28T00:00:00"/>
    <x v="2"/>
    <x v="0"/>
    <x v="1"/>
    <x v="0"/>
    <x v="3"/>
    <x v="1"/>
    <x v="8"/>
    <x v="2"/>
  </r>
  <r>
    <x v="1513"/>
    <x v="6"/>
    <x v="12"/>
    <n v="52.6"/>
    <x v="138"/>
    <x v="56"/>
    <d v="2025-02-28T00:00:00"/>
    <x v="2"/>
    <x v="2"/>
    <x v="1"/>
    <x v="0"/>
    <x v="3"/>
    <x v="1"/>
    <x v="8"/>
    <x v="2"/>
  </r>
  <r>
    <x v="1514"/>
    <x v="10"/>
    <x v="0"/>
    <n v="32.700000000000003"/>
    <x v="1229"/>
    <x v="56"/>
    <d v="2025-03-05T00:00:00"/>
    <x v="2"/>
    <x v="0"/>
    <x v="2"/>
    <x v="0"/>
    <x v="3"/>
    <x v="6"/>
    <x v="8"/>
    <x v="2"/>
  </r>
  <r>
    <x v="1515"/>
    <x v="5"/>
    <x v="12"/>
    <n v="38.9"/>
    <x v="1230"/>
    <x v="56"/>
    <d v="2025-02-27T00:00:00"/>
    <x v="2"/>
    <x v="0"/>
    <x v="0"/>
    <x v="0"/>
    <x v="3"/>
    <x v="3"/>
    <x v="8"/>
    <x v="2"/>
  </r>
  <r>
    <x v="1516"/>
    <x v="9"/>
    <x v="9"/>
    <n v="35"/>
    <x v="25"/>
    <x v="56"/>
    <d v="2025-02-28T00:00:00"/>
    <x v="1"/>
    <x v="0"/>
    <x v="0"/>
    <x v="0"/>
    <x v="3"/>
    <x v="1"/>
    <x v="8"/>
    <x v="1"/>
  </r>
  <r>
    <x v="1517"/>
    <x v="2"/>
    <x v="1"/>
    <n v="121"/>
    <x v="1231"/>
    <x v="56"/>
    <d v="2025-02-27T00:00:00"/>
    <x v="2"/>
    <x v="1"/>
    <x v="1"/>
    <x v="0"/>
    <x v="3"/>
    <x v="3"/>
    <x v="8"/>
    <x v="2"/>
  </r>
  <r>
    <x v="1518"/>
    <x v="6"/>
    <x v="2"/>
    <n v="65.099999999999994"/>
    <x v="1174"/>
    <x v="56"/>
    <d v="2025-03-02T00:00:00"/>
    <x v="1"/>
    <x v="2"/>
    <x v="0"/>
    <x v="0"/>
    <x v="36"/>
    <x v="5"/>
    <x v="8"/>
    <x v="1"/>
  </r>
  <r>
    <x v="1519"/>
    <x v="1"/>
    <x v="38"/>
    <n v="63.8"/>
    <x v="1232"/>
    <x v="56"/>
    <d v="2025-02-28T00:00:00"/>
    <x v="2"/>
    <x v="0"/>
    <x v="0"/>
    <x v="0"/>
    <x v="8"/>
    <x v="1"/>
    <x v="8"/>
    <x v="2"/>
  </r>
  <r>
    <x v="1520"/>
    <x v="7"/>
    <x v="0"/>
    <n v="77.7"/>
    <x v="1233"/>
    <x v="56"/>
    <d v="2025-02-28T00:00:00"/>
    <x v="1"/>
    <x v="0"/>
    <x v="0"/>
    <x v="0"/>
    <x v="8"/>
    <x v="1"/>
    <x v="8"/>
    <x v="1"/>
  </r>
  <r>
    <x v="1521"/>
    <x v="5"/>
    <x v="12"/>
    <n v="60.3"/>
    <x v="1234"/>
    <x v="56"/>
    <d v="2025-02-26T00:00:00"/>
    <x v="1"/>
    <x v="0"/>
    <x v="2"/>
    <x v="0"/>
    <x v="8"/>
    <x v="7"/>
    <x v="8"/>
    <x v="1"/>
  </r>
  <r>
    <x v="1522"/>
    <x v="5"/>
    <x v="1"/>
    <n v="124.1"/>
    <x v="1235"/>
    <x v="56"/>
    <d v="2025-03-01T00:00:00"/>
    <x v="2"/>
    <x v="0"/>
    <x v="2"/>
    <x v="0"/>
    <x v="8"/>
    <x v="2"/>
    <x v="8"/>
    <x v="2"/>
  </r>
  <r>
    <x v="1523"/>
    <x v="16"/>
    <x v="3"/>
    <n v="66"/>
    <x v="1236"/>
    <x v="56"/>
    <d v="2025-02-26T00:00:00"/>
    <x v="0"/>
    <x v="3"/>
    <x v="0"/>
    <x v="0"/>
    <x v="17"/>
    <x v="7"/>
    <x v="8"/>
    <x v="0"/>
  </r>
  <r>
    <x v="1524"/>
    <x v="2"/>
    <x v="42"/>
    <n v="118.2"/>
    <x v="1237"/>
    <x v="56"/>
    <d v="2025-03-03T00:00:00"/>
    <x v="0"/>
    <x v="0"/>
    <x v="0"/>
    <x v="0"/>
    <x v="17"/>
    <x v="0"/>
    <x v="8"/>
    <x v="0"/>
  </r>
  <r>
    <x v="1525"/>
    <x v="5"/>
    <x v="9"/>
    <n v="64.3"/>
    <x v="1238"/>
    <x v="56"/>
    <d v="2025-02-27T00:00:00"/>
    <x v="1"/>
    <x v="4"/>
    <x v="4"/>
    <x v="0"/>
    <x v="26"/>
    <x v="3"/>
    <x v="8"/>
    <x v="1"/>
  </r>
  <r>
    <x v="1526"/>
    <x v="1"/>
    <x v="1"/>
    <n v="54.8"/>
    <x v="1239"/>
    <x v="56"/>
    <d v="2025-02-26T00:00:00"/>
    <x v="1"/>
    <x v="0"/>
    <x v="1"/>
    <x v="0"/>
    <x v="26"/>
    <x v="7"/>
    <x v="8"/>
    <x v="1"/>
  </r>
  <r>
    <x v="1527"/>
    <x v="7"/>
    <x v="1"/>
    <n v="78.599999999999994"/>
    <x v="507"/>
    <x v="56"/>
    <d v="2025-02-27T00:00:00"/>
    <x v="1"/>
    <x v="0"/>
    <x v="2"/>
    <x v="0"/>
    <x v="9"/>
    <x v="3"/>
    <x v="8"/>
    <x v="1"/>
  </r>
  <r>
    <x v="1528"/>
    <x v="2"/>
    <x v="9"/>
    <n v="158.5"/>
    <x v="1240"/>
    <x v="56"/>
    <d v="2025-02-28T00:00:00"/>
    <x v="0"/>
    <x v="2"/>
    <x v="2"/>
    <x v="0"/>
    <x v="9"/>
    <x v="1"/>
    <x v="8"/>
    <x v="0"/>
  </r>
  <r>
    <x v="1529"/>
    <x v="4"/>
    <x v="7"/>
    <n v="23.5"/>
    <x v="666"/>
    <x v="56"/>
    <d v="2025-03-01T00:00:00"/>
    <x v="1"/>
    <x v="0"/>
    <x v="4"/>
    <x v="0"/>
    <x v="10"/>
    <x v="2"/>
    <x v="8"/>
    <x v="1"/>
  </r>
  <r>
    <x v="1530"/>
    <x v="5"/>
    <x v="1"/>
    <n v="32.1"/>
    <x v="1005"/>
    <x v="56"/>
    <d v="2025-02-28T00:00:00"/>
    <x v="0"/>
    <x v="3"/>
    <x v="0"/>
    <x v="0"/>
    <x v="10"/>
    <x v="1"/>
    <x v="8"/>
    <x v="0"/>
  </r>
  <r>
    <x v="1531"/>
    <x v="17"/>
    <x v="12"/>
    <n v="71.900000000000006"/>
    <x v="1241"/>
    <x v="56"/>
    <d v="2025-02-26T00:00:00"/>
    <x v="1"/>
    <x v="2"/>
    <x v="0"/>
    <x v="0"/>
    <x v="19"/>
    <x v="7"/>
    <x v="8"/>
    <x v="1"/>
  </r>
  <r>
    <x v="1532"/>
    <x v="4"/>
    <x v="13"/>
    <n v="22.3"/>
    <x v="981"/>
    <x v="56"/>
    <d v="2025-02-27T00:00:00"/>
    <x v="0"/>
    <x v="3"/>
    <x v="2"/>
    <x v="0"/>
    <x v="13"/>
    <x v="3"/>
    <x v="8"/>
    <x v="0"/>
  </r>
  <r>
    <x v="1533"/>
    <x v="11"/>
    <x v="1"/>
    <n v="29.5"/>
    <x v="1242"/>
    <x v="56"/>
    <d v="2025-02-27T00:00:00"/>
    <x v="2"/>
    <x v="0"/>
    <x v="2"/>
    <x v="0"/>
    <x v="13"/>
    <x v="3"/>
    <x v="8"/>
    <x v="2"/>
  </r>
  <r>
    <x v="1534"/>
    <x v="6"/>
    <x v="12"/>
    <n v="41.9"/>
    <x v="1243"/>
    <x v="56"/>
    <d v="2025-03-02T00:00:00"/>
    <x v="2"/>
    <x v="0"/>
    <x v="1"/>
    <x v="0"/>
    <x v="21"/>
    <x v="5"/>
    <x v="8"/>
    <x v="2"/>
  </r>
  <r>
    <x v="1535"/>
    <x v="6"/>
    <x v="2"/>
    <n v="107.8"/>
    <x v="1244"/>
    <x v="56"/>
    <d v="2025-02-27T00:00:00"/>
    <x v="1"/>
    <x v="1"/>
    <x v="2"/>
    <x v="0"/>
    <x v="46"/>
    <x v="3"/>
    <x v="8"/>
    <x v="1"/>
  </r>
  <r>
    <x v="1536"/>
    <x v="4"/>
    <x v="9"/>
    <n v="18.100000000000001"/>
    <x v="497"/>
    <x v="56"/>
    <d v="2025-03-01T00:00:00"/>
    <x v="1"/>
    <x v="0"/>
    <x v="2"/>
    <x v="0"/>
    <x v="2"/>
    <x v="2"/>
    <x v="8"/>
    <x v="1"/>
  </r>
  <r>
    <x v="1537"/>
    <x v="12"/>
    <x v="11"/>
    <n v="79.8"/>
    <x v="1245"/>
    <x v="56"/>
    <d v="2025-02-27T00:00:00"/>
    <x v="2"/>
    <x v="1"/>
    <x v="1"/>
    <x v="0"/>
    <x v="22"/>
    <x v="3"/>
    <x v="8"/>
    <x v="2"/>
  </r>
  <r>
    <x v="1538"/>
    <x v="0"/>
    <x v="2"/>
    <n v="22.3"/>
    <x v="884"/>
    <x v="56"/>
    <d v="2025-03-01T00:00:00"/>
    <x v="2"/>
    <x v="0"/>
    <x v="2"/>
    <x v="0"/>
    <x v="22"/>
    <x v="2"/>
    <x v="8"/>
    <x v="2"/>
  </r>
  <r>
    <x v="1539"/>
    <x v="8"/>
    <x v="0"/>
    <n v="22.9"/>
    <x v="1246"/>
    <x v="56"/>
    <d v="2025-02-26T00:00:00"/>
    <x v="2"/>
    <x v="1"/>
    <x v="0"/>
    <x v="0"/>
    <x v="22"/>
    <x v="7"/>
    <x v="8"/>
    <x v="2"/>
  </r>
  <r>
    <x v="1540"/>
    <x v="0"/>
    <x v="2"/>
    <n v="16.2"/>
    <x v="1247"/>
    <x v="57"/>
    <d v="2025-02-27T00:00:00"/>
    <x v="1"/>
    <x v="4"/>
    <x v="2"/>
    <x v="0"/>
    <x v="3"/>
    <x v="7"/>
    <x v="8"/>
    <x v="1"/>
  </r>
  <r>
    <x v="1541"/>
    <x v="10"/>
    <x v="12"/>
    <n v="59.5"/>
    <x v="1248"/>
    <x v="57"/>
    <d v="2025-02-28T00:00:00"/>
    <x v="1"/>
    <x v="1"/>
    <x v="2"/>
    <x v="0"/>
    <x v="3"/>
    <x v="3"/>
    <x v="8"/>
    <x v="1"/>
  </r>
  <r>
    <x v="1542"/>
    <x v="18"/>
    <x v="9"/>
    <n v="26.2"/>
    <x v="1249"/>
    <x v="57"/>
    <d v="2025-03-02T00:00:00"/>
    <x v="1"/>
    <x v="3"/>
    <x v="4"/>
    <x v="0"/>
    <x v="3"/>
    <x v="2"/>
    <x v="8"/>
    <x v="1"/>
  </r>
  <r>
    <x v="1543"/>
    <x v="3"/>
    <x v="0"/>
    <n v="44.2"/>
    <x v="573"/>
    <x v="57"/>
    <d v="2025-03-02T00:00:00"/>
    <x v="2"/>
    <x v="1"/>
    <x v="0"/>
    <x v="0"/>
    <x v="3"/>
    <x v="2"/>
    <x v="8"/>
    <x v="2"/>
  </r>
  <r>
    <x v="1544"/>
    <x v="9"/>
    <x v="1"/>
    <n v="59.2"/>
    <x v="1250"/>
    <x v="57"/>
    <d v="2025-02-27T00:00:00"/>
    <x v="2"/>
    <x v="1"/>
    <x v="4"/>
    <x v="0"/>
    <x v="3"/>
    <x v="7"/>
    <x v="8"/>
    <x v="2"/>
  </r>
  <r>
    <x v="1545"/>
    <x v="15"/>
    <x v="12"/>
    <n v="41.5"/>
    <x v="1251"/>
    <x v="57"/>
    <d v="2025-03-01T00:00:00"/>
    <x v="2"/>
    <x v="0"/>
    <x v="0"/>
    <x v="0"/>
    <x v="16"/>
    <x v="1"/>
    <x v="8"/>
    <x v="2"/>
  </r>
  <r>
    <x v="1546"/>
    <x v="6"/>
    <x v="4"/>
    <n v="67.099999999999994"/>
    <x v="1252"/>
    <x v="57"/>
    <d v="2025-03-13T00:00:00"/>
    <x v="2"/>
    <x v="0"/>
    <x v="2"/>
    <x v="0"/>
    <x v="23"/>
    <x v="12"/>
    <x v="8"/>
    <x v="2"/>
  </r>
  <r>
    <x v="1547"/>
    <x v="8"/>
    <x v="1"/>
    <n v="28.7"/>
    <x v="1253"/>
    <x v="57"/>
    <d v="2025-03-03T00:00:00"/>
    <x v="2"/>
    <x v="1"/>
    <x v="0"/>
    <x v="0"/>
    <x v="6"/>
    <x v="5"/>
    <x v="8"/>
    <x v="2"/>
  </r>
  <r>
    <x v="1548"/>
    <x v="2"/>
    <x v="12"/>
    <n v="132.1"/>
    <x v="1254"/>
    <x v="57"/>
    <d v="2025-02-28T00:00:00"/>
    <x v="2"/>
    <x v="0"/>
    <x v="1"/>
    <x v="0"/>
    <x v="6"/>
    <x v="3"/>
    <x v="8"/>
    <x v="2"/>
  </r>
  <r>
    <x v="1549"/>
    <x v="18"/>
    <x v="1"/>
    <n v="47"/>
    <x v="255"/>
    <x v="57"/>
    <d v="2025-03-01T00:00:00"/>
    <x v="1"/>
    <x v="4"/>
    <x v="0"/>
    <x v="0"/>
    <x v="8"/>
    <x v="1"/>
    <x v="8"/>
    <x v="1"/>
  </r>
  <r>
    <x v="1550"/>
    <x v="8"/>
    <x v="1"/>
    <n v="41.6"/>
    <x v="707"/>
    <x v="57"/>
    <d v="2025-03-03T00:00:00"/>
    <x v="1"/>
    <x v="1"/>
    <x v="2"/>
    <x v="0"/>
    <x v="8"/>
    <x v="5"/>
    <x v="8"/>
    <x v="1"/>
  </r>
  <r>
    <x v="1551"/>
    <x v="8"/>
    <x v="43"/>
    <n v="17.3"/>
    <x v="1255"/>
    <x v="57"/>
    <d v="2025-03-01T00:00:00"/>
    <x v="1"/>
    <x v="2"/>
    <x v="2"/>
    <x v="0"/>
    <x v="8"/>
    <x v="1"/>
    <x v="8"/>
    <x v="1"/>
  </r>
  <r>
    <x v="1552"/>
    <x v="13"/>
    <x v="2"/>
    <n v="41.8"/>
    <x v="352"/>
    <x v="57"/>
    <d v="2025-03-02T00:00:00"/>
    <x v="1"/>
    <x v="0"/>
    <x v="2"/>
    <x v="0"/>
    <x v="8"/>
    <x v="2"/>
    <x v="8"/>
    <x v="1"/>
  </r>
  <r>
    <x v="1553"/>
    <x v="10"/>
    <x v="0"/>
    <n v="24"/>
    <x v="835"/>
    <x v="57"/>
    <d v="2025-02-28T00:00:00"/>
    <x v="2"/>
    <x v="0"/>
    <x v="0"/>
    <x v="0"/>
    <x v="17"/>
    <x v="3"/>
    <x v="8"/>
    <x v="2"/>
  </r>
  <r>
    <x v="1554"/>
    <x v="14"/>
    <x v="11"/>
    <n v="18.5"/>
    <x v="1256"/>
    <x v="57"/>
    <d v="2025-03-01T00:00:00"/>
    <x v="2"/>
    <x v="0"/>
    <x v="0"/>
    <x v="0"/>
    <x v="9"/>
    <x v="1"/>
    <x v="8"/>
    <x v="2"/>
  </r>
  <r>
    <x v="1555"/>
    <x v="3"/>
    <x v="4"/>
    <n v="66.7"/>
    <x v="1257"/>
    <x v="57"/>
    <d v="2025-03-02T00:00:00"/>
    <x v="0"/>
    <x v="0"/>
    <x v="2"/>
    <x v="0"/>
    <x v="11"/>
    <x v="2"/>
    <x v="8"/>
    <x v="0"/>
  </r>
  <r>
    <x v="1556"/>
    <x v="1"/>
    <x v="12"/>
    <n v="33.1"/>
    <x v="979"/>
    <x v="57"/>
    <d v="2025-03-04T00:00:00"/>
    <x v="1"/>
    <x v="3"/>
    <x v="0"/>
    <x v="0"/>
    <x v="11"/>
    <x v="0"/>
    <x v="8"/>
    <x v="1"/>
  </r>
  <r>
    <x v="1557"/>
    <x v="19"/>
    <x v="11"/>
    <n v="42.1"/>
    <x v="1258"/>
    <x v="57"/>
    <d v="2025-03-10T00:00:00"/>
    <x v="1"/>
    <x v="1"/>
    <x v="0"/>
    <x v="0"/>
    <x v="18"/>
    <x v="11"/>
    <x v="8"/>
    <x v="1"/>
  </r>
  <r>
    <x v="1558"/>
    <x v="18"/>
    <x v="3"/>
    <n v="58.7"/>
    <x v="1259"/>
    <x v="57"/>
    <d v="2025-02-27T00:00:00"/>
    <x v="3"/>
    <x v="3"/>
    <x v="0"/>
    <x v="0"/>
    <x v="31"/>
    <x v="7"/>
    <x v="8"/>
    <x v="3"/>
  </r>
  <r>
    <x v="1559"/>
    <x v="6"/>
    <x v="12"/>
    <n v="54"/>
    <x v="760"/>
    <x v="57"/>
    <d v="2025-03-01T00:00:00"/>
    <x v="2"/>
    <x v="1"/>
    <x v="0"/>
    <x v="0"/>
    <x v="1"/>
    <x v="1"/>
    <x v="8"/>
    <x v="2"/>
  </r>
  <r>
    <x v="1560"/>
    <x v="8"/>
    <x v="0"/>
    <n v="52.1"/>
    <x v="475"/>
    <x v="57"/>
    <d v="2025-02-28T00:00:00"/>
    <x v="2"/>
    <x v="2"/>
    <x v="2"/>
    <x v="0"/>
    <x v="2"/>
    <x v="3"/>
    <x v="8"/>
    <x v="2"/>
  </r>
  <r>
    <x v="1561"/>
    <x v="19"/>
    <x v="1"/>
    <n v="27"/>
    <x v="1260"/>
    <x v="57"/>
    <d v="2025-03-02T00:00:00"/>
    <x v="3"/>
    <x v="2"/>
    <x v="0"/>
    <x v="0"/>
    <x v="22"/>
    <x v="2"/>
    <x v="8"/>
    <x v="3"/>
  </r>
  <r>
    <x v="1562"/>
    <x v="12"/>
    <x v="7"/>
    <n v="31"/>
    <x v="892"/>
    <x v="58"/>
    <d v="2025-03-01T00:00:00"/>
    <x v="2"/>
    <x v="3"/>
    <x v="2"/>
    <x v="0"/>
    <x v="22"/>
    <x v="3"/>
    <x v="8"/>
    <x v="2"/>
  </r>
  <r>
    <x v="1563"/>
    <x v="10"/>
    <x v="1"/>
    <n v="46.7"/>
    <x v="1261"/>
    <x v="58"/>
    <d v="2025-02-28T00:00:00"/>
    <x v="2"/>
    <x v="0"/>
    <x v="0"/>
    <x v="0"/>
    <x v="34"/>
    <x v="7"/>
    <x v="8"/>
    <x v="2"/>
  </r>
  <r>
    <x v="1564"/>
    <x v="6"/>
    <x v="0"/>
    <n v="144.69999999999999"/>
    <x v="1262"/>
    <x v="58"/>
    <d v="2025-03-03T00:00:00"/>
    <x v="1"/>
    <x v="0"/>
    <x v="2"/>
    <x v="0"/>
    <x v="3"/>
    <x v="2"/>
    <x v="8"/>
    <x v="1"/>
  </r>
  <r>
    <x v="1565"/>
    <x v="2"/>
    <x v="11"/>
    <n v="90.9"/>
    <x v="1263"/>
    <x v="58"/>
    <d v="2025-03-01T00:00:00"/>
    <x v="1"/>
    <x v="0"/>
    <x v="2"/>
    <x v="0"/>
    <x v="3"/>
    <x v="3"/>
    <x v="8"/>
    <x v="1"/>
  </r>
  <r>
    <x v="1566"/>
    <x v="1"/>
    <x v="1"/>
    <n v="75.8"/>
    <x v="318"/>
    <x v="58"/>
    <d v="2025-03-01T00:00:00"/>
    <x v="2"/>
    <x v="2"/>
    <x v="1"/>
    <x v="0"/>
    <x v="3"/>
    <x v="3"/>
    <x v="8"/>
    <x v="2"/>
  </r>
  <r>
    <x v="1567"/>
    <x v="7"/>
    <x v="9"/>
    <n v="57.9"/>
    <x v="1264"/>
    <x v="58"/>
    <d v="2025-03-02T00:00:00"/>
    <x v="1"/>
    <x v="2"/>
    <x v="2"/>
    <x v="0"/>
    <x v="3"/>
    <x v="1"/>
    <x v="8"/>
    <x v="1"/>
  </r>
  <r>
    <x v="1568"/>
    <x v="8"/>
    <x v="9"/>
    <n v="44.8"/>
    <x v="692"/>
    <x v="58"/>
    <d v="2025-03-01T00:00:00"/>
    <x v="2"/>
    <x v="3"/>
    <x v="2"/>
    <x v="0"/>
    <x v="3"/>
    <x v="3"/>
    <x v="8"/>
    <x v="2"/>
  </r>
  <r>
    <x v="1569"/>
    <x v="9"/>
    <x v="2"/>
    <n v="44.2"/>
    <x v="1265"/>
    <x v="58"/>
    <d v="2025-03-04T00:00:00"/>
    <x v="1"/>
    <x v="2"/>
    <x v="2"/>
    <x v="0"/>
    <x v="3"/>
    <x v="5"/>
    <x v="8"/>
    <x v="1"/>
  </r>
  <r>
    <x v="1570"/>
    <x v="5"/>
    <x v="9"/>
    <n v="53.5"/>
    <x v="1266"/>
    <x v="58"/>
    <d v="2025-03-02T00:00:00"/>
    <x v="1"/>
    <x v="0"/>
    <x v="0"/>
    <x v="0"/>
    <x v="37"/>
    <x v="1"/>
    <x v="8"/>
    <x v="1"/>
  </r>
  <r>
    <x v="1571"/>
    <x v="6"/>
    <x v="1"/>
    <n v="72.2"/>
    <x v="613"/>
    <x v="58"/>
    <d v="2025-03-01T00:00:00"/>
    <x v="1"/>
    <x v="0"/>
    <x v="2"/>
    <x v="0"/>
    <x v="25"/>
    <x v="3"/>
    <x v="8"/>
    <x v="1"/>
  </r>
  <r>
    <x v="1572"/>
    <x v="6"/>
    <x v="12"/>
    <n v="62.4"/>
    <x v="1267"/>
    <x v="58"/>
    <d v="2025-03-03T00:00:00"/>
    <x v="2"/>
    <x v="0"/>
    <x v="1"/>
    <x v="0"/>
    <x v="23"/>
    <x v="2"/>
    <x v="8"/>
    <x v="2"/>
  </r>
  <r>
    <x v="1573"/>
    <x v="10"/>
    <x v="9"/>
    <n v="24.7"/>
    <x v="1268"/>
    <x v="58"/>
    <d v="2025-03-01T00:00:00"/>
    <x v="2"/>
    <x v="0"/>
    <x v="0"/>
    <x v="0"/>
    <x v="6"/>
    <x v="3"/>
    <x v="8"/>
    <x v="2"/>
  </r>
  <r>
    <x v="1574"/>
    <x v="1"/>
    <x v="9"/>
    <n v="61.7"/>
    <x v="1269"/>
    <x v="58"/>
    <d v="2025-03-02T00:00:00"/>
    <x v="2"/>
    <x v="2"/>
    <x v="0"/>
    <x v="0"/>
    <x v="8"/>
    <x v="1"/>
    <x v="8"/>
    <x v="2"/>
  </r>
  <r>
    <x v="1575"/>
    <x v="8"/>
    <x v="9"/>
    <n v="18.2"/>
    <x v="1270"/>
    <x v="58"/>
    <d v="2025-03-02T00:00:00"/>
    <x v="2"/>
    <x v="3"/>
    <x v="0"/>
    <x v="0"/>
    <x v="8"/>
    <x v="1"/>
    <x v="8"/>
    <x v="2"/>
  </r>
  <r>
    <x v="1576"/>
    <x v="10"/>
    <x v="12"/>
    <n v="37.200000000000003"/>
    <x v="956"/>
    <x v="58"/>
    <d v="2025-03-06T00:00:00"/>
    <x v="2"/>
    <x v="0"/>
    <x v="0"/>
    <x v="0"/>
    <x v="8"/>
    <x v="4"/>
    <x v="8"/>
    <x v="2"/>
  </r>
  <r>
    <x v="1577"/>
    <x v="9"/>
    <x v="2"/>
    <n v="53.5"/>
    <x v="1271"/>
    <x v="58"/>
    <d v="2025-03-02T00:00:00"/>
    <x v="2"/>
    <x v="1"/>
    <x v="2"/>
    <x v="0"/>
    <x v="9"/>
    <x v="1"/>
    <x v="8"/>
    <x v="2"/>
  </r>
  <r>
    <x v="1578"/>
    <x v="8"/>
    <x v="2"/>
    <n v="43.6"/>
    <x v="1272"/>
    <x v="58"/>
    <d v="2025-02-28T00:00:00"/>
    <x v="2"/>
    <x v="0"/>
    <x v="0"/>
    <x v="0"/>
    <x v="9"/>
    <x v="7"/>
    <x v="8"/>
    <x v="2"/>
  </r>
  <r>
    <x v="1579"/>
    <x v="1"/>
    <x v="7"/>
    <n v="135"/>
    <x v="1273"/>
    <x v="58"/>
    <d v="2025-03-02T00:00:00"/>
    <x v="2"/>
    <x v="0"/>
    <x v="2"/>
    <x v="0"/>
    <x v="9"/>
    <x v="1"/>
    <x v="8"/>
    <x v="2"/>
  </r>
  <r>
    <x v="1580"/>
    <x v="8"/>
    <x v="9"/>
    <n v="38.5"/>
    <x v="796"/>
    <x v="58"/>
    <d v="2025-02-28T00:00:00"/>
    <x v="1"/>
    <x v="4"/>
    <x v="2"/>
    <x v="0"/>
    <x v="10"/>
    <x v="7"/>
    <x v="8"/>
    <x v="1"/>
  </r>
  <r>
    <x v="1581"/>
    <x v="9"/>
    <x v="1"/>
    <n v="24"/>
    <x v="510"/>
    <x v="58"/>
    <d v="2025-03-05T00:00:00"/>
    <x v="2"/>
    <x v="0"/>
    <x v="0"/>
    <x v="0"/>
    <x v="11"/>
    <x v="0"/>
    <x v="8"/>
    <x v="2"/>
  </r>
  <r>
    <x v="1582"/>
    <x v="4"/>
    <x v="2"/>
    <n v="28.2"/>
    <x v="1274"/>
    <x v="58"/>
    <d v="2025-03-02T00:00:00"/>
    <x v="1"/>
    <x v="0"/>
    <x v="3"/>
    <x v="0"/>
    <x v="18"/>
    <x v="1"/>
    <x v="8"/>
    <x v="1"/>
  </r>
  <r>
    <x v="1583"/>
    <x v="7"/>
    <x v="2"/>
    <n v="37.4"/>
    <x v="794"/>
    <x v="58"/>
    <d v="2025-03-01T00:00:00"/>
    <x v="2"/>
    <x v="3"/>
    <x v="0"/>
    <x v="0"/>
    <x v="1"/>
    <x v="3"/>
    <x v="8"/>
    <x v="2"/>
  </r>
  <r>
    <x v="1584"/>
    <x v="6"/>
    <x v="2"/>
    <n v="53.5"/>
    <x v="1271"/>
    <x v="58"/>
    <d v="2025-03-03T00:00:00"/>
    <x v="0"/>
    <x v="4"/>
    <x v="4"/>
    <x v="0"/>
    <x v="1"/>
    <x v="2"/>
    <x v="8"/>
    <x v="0"/>
  </r>
  <r>
    <x v="1585"/>
    <x v="11"/>
    <x v="9"/>
    <n v="36.200000000000003"/>
    <x v="1275"/>
    <x v="58"/>
    <d v="2025-03-01T00:00:00"/>
    <x v="1"/>
    <x v="1"/>
    <x v="2"/>
    <x v="0"/>
    <x v="33"/>
    <x v="3"/>
    <x v="8"/>
    <x v="1"/>
  </r>
  <r>
    <x v="1586"/>
    <x v="0"/>
    <x v="8"/>
    <n v="31.9"/>
    <x v="281"/>
    <x v="58"/>
    <d v="2025-03-01T00:00:00"/>
    <x v="2"/>
    <x v="4"/>
    <x v="0"/>
    <x v="0"/>
    <x v="3"/>
    <x v="3"/>
    <x v="8"/>
    <x v="2"/>
  </r>
  <r>
    <x v="1587"/>
    <x v="8"/>
    <x v="2"/>
    <n v="21.3"/>
    <x v="1276"/>
    <x v="58"/>
    <d v="2025-03-01T00:00:00"/>
    <x v="1"/>
    <x v="0"/>
    <x v="2"/>
    <x v="0"/>
    <x v="3"/>
    <x v="3"/>
    <x v="8"/>
    <x v="1"/>
  </r>
  <r>
    <x v="1588"/>
    <x v="8"/>
    <x v="0"/>
    <n v="36.299999999999997"/>
    <x v="1277"/>
    <x v="58"/>
    <d v="2025-03-02T00:00:00"/>
    <x v="3"/>
    <x v="4"/>
    <x v="0"/>
    <x v="0"/>
    <x v="3"/>
    <x v="1"/>
    <x v="8"/>
    <x v="3"/>
  </r>
  <r>
    <x v="1589"/>
    <x v="6"/>
    <x v="2"/>
    <n v="110.5"/>
    <x v="1278"/>
    <x v="58"/>
    <d v="2025-03-01T00:00:00"/>
    <x v="2"/>
    <x v="0"/>
    <x v="3"/>
    <x v="0"/>
    <x v="3"/>
    <x v="3"/>
    <x v="8"/>
    <x v="2"/>
  </r>
  <r>
    <x v="1590"/>
    <x v="10"/>
    <x v="3"/>
    <n v="32.6"/>
    <x v="1279"/>
    <x v="58"/>
    <d v="2025-03-02T00:00:00"/>
    <x v="2"/>
    <x v="0"/>
    <x v="1"/>
    <x v="0"/>
    <x v="3"/>
    <x v="1"/>
    <x v="8"/>
    <x v="2"/>
  </r>
  <r>
    <x v="1591"/>
    <x v="5"/>
    <x v="2"/>
    <n v="55.6"/>
    <x v="701"/>
    <x v="59"/>
    <d v="2025-03-14T00:00:00"/>
    <x v="2"/>
    <x v="0"/>
    <x v="0"/>
    <x v="0"/>
    <x v="3"/>
    <x v="10"/>
    <x v="8"/>
    <x v="2"/>
  </r>
  <r>
    <x v="1592"/>
    <x v="1"/>
    <x v="12"/>
    <n v="38"/>
    <x v="465"/>
    <x v="59"/>
    <d v="2025-03-02T00:00:00"/>
    <x v="2"/>
    <x v="3"/>
    <x v="2"/>
    <x v="0"/>
    <x v="5"/>
    <x v="3"/>
    <x v="8"/>
    <x v="2"/>
  </r>
  <r>
    <x v="1593"/>
    <x v="10"/>
    <x v="1"/>
    <n v="51.8"/>
    <x v="186"/>
    <x v="59"/>
    <d v="2025-03-07T00:00:00"/>
    <x v="1"/>
    <x v="1"/>
    <x v="4"/>
    <x v="0"/>
    <x v="6"/>
    <x v="4"/>
    <x v="8"/>
    <x v="1"/>
  </r>
  <r>
    <x v="1594"/>
    <x v="11"/>
    <x v="8"/>
    <n v="28.7"/>
    <x v="1166"/>
    <x v="59"/>
    <d v="2025-03-06T00:00:00"/>
    <x v="2"/>
    <x v="0"/>
    <x v="0"/>
    <x v="0"/>
    <x v="6"/>
    <x v="0"/>
    <x v="8"/>
    <x v="2"/>
  </r>
  <r>
    <x v="1595"/>
    <x v="6"/>
    <x v="4"/>
    <n v="52.2"/>
    <x v="1280"/>
    <x v="59"/>
    <d v="2025-03-01T00:00:00"/>
    <x v="1"/>
    <x v="0"/>
    <x v="1"/>
    <x v="0"/>
    <x v="6"/>
    <x v="7"/>
    <x v="8"/>
    <x v="1"/>
  </r>
  <r>
    <x v="1596"/>
    <x v="1"/>
    <x v="1"/>
    <n v="68.2"/>
    <x v="517"/>
    <x v="59"/>
    <d v="2025-03-02T00:00:00"/>
    <x v="0"/>
    <x v="2"/>
    <x v="0"/>
    <x v="0"/>
    <x v="7"/>
    <x v="3"/>
    <x v="8"/>
    <x v="0"/>
  </r>
  <r>
    <x v="1597"/>
    <x v="0"/>
    <x v="2"/>
    <n v="34"/>
    <x v="1062"/>
    <x v="59"/>
    <d v="2025-03-05T00:00:00"/>
    <x v="2"/>
    <x v="0"/>
    <x v="0"/>
    <x v="0"/>
    <x v="8"/>
    <x v="5"/>
    <x v="8"/>
    <x v="2"/>
  </r>
  <r>
    <x v="1598"/>
    <x v="8"/>
    <x v="2"/>
    <n v="19.100000000000001"/>
    <x v="1281"/>
    <x v="59"/>
    <d v="2025-03-02T00:00:00"/>
    <x v="2"/>
    <x v="4"/>
    <x v="0"/>
    <x v="0"/>
    <x v="8"/>
    <x v="3"/>
    <x v="8"/>
    <x v="2"/>
  </r>
  <r>
    <x v="1599"/>
    <x v="5"/>
    <x v="8"/>
    <n v="34"/>
    <x v="1123"/>
    <x v="59"/>
    <d v="2025-03-09T00:00:00"/>
    <x v="2"/>
    <x v="4"/>
    <x v="0"/>
    <x v="0"/>
    <x v="8"/>
    <x v="9"/>
    <x v="8"/>
    <x v="2"/>
  </r>
  <r>
    <x v="1600"/>
    <x v="12"/>
    <x v="1"/>
    <n v="109.1"/>
    <x v="1282"/>
    <x v="59"/>
    <d v="2025-03-03T00:00:00"/>
    <x v="1"/>
    <x v="0"/>
    <x v="2"/>
    <x v="0"/>
    <x v="8"/>
    <x v="1"/>
    <x v="8"/>
    <x v="1"/>
  </r>
  <r>
    <x v="1601"/>
    <x v="18"/>
    <x v="1"/>
    <n v="64.8"/>
    <x v="632"/>
    <x v="59"/>
    <d v="2025-03-03T00:00:00"/>
    <x v="1"/>
    <x v="0"/>
    <x v="2"/>
    <x v="0"/>
    <x v="8"/>
    <x v="1"/>
    <x v="8"/>
    <x v="1"/>
  </r>
  <r>
    <x v="1602"/>
    <x v="10"/>
    <x v="1"/>
    <n v="21.1"/>
    <x v="1283"/>
    <x v="59"/>
    <d v="2025-03-01T00:00:00"/>
    <x v="2"/>
    <x v="1"/>
    <x v="0"/>
    <x v="0"/>
    <x v="11"/>
    <x v="7"/>
    <x v="8"/>
    <x v="2"/>
  </r>
  <r>
    <x v="1603"/>
    <x v="0"/>
    <x v="8"/>
    <n v="21.3"/>
    <x v="1284"/>
    <x v="59"/>
    <d v="2025-03-03T00:00:00"/>
    <x v="1"/>
    <x v="3"/>
    <x v="1"/>
    <x v="0"/>
    <x v="18"/>
    <x v="1"/>
    <x v="8"/>
    <x v="1"/>
  </r>
  <r>
    <x v="1604"/>
    <x v="9"/>
    <x v="2"/>
    <n v="24.3"/>
    <x v="1285"/>
    <x v="59"/>
    <d v="2025-03-02T00:00:00"/>
    <x v="1"/>
    <x v="1"/>
    <x v="0"/>
    <x v="0"/>
    <x v="19"/>
    <x v="3"/>
    <x v="8"/>
    <x v="1"/>
  </r>
  <r>
    <x v="1605"/>
    <x v="8"/>
    <x v="0"/>
    <n v="43.3"/>
    <x v="1286"/>
    <x v="59"/>
    <d v="2025-03-05T00:00:00"/>
    <x v="1"/>
    <x v="1"/>
    <x v="1"/>
    <x v="0"/>
    <x v="13"/>
    <x v="5"/>
    <x v="8"/>
    <x v="1"/>
  </r>
  <r>
    <x v="1606"/>
    <x v="9"/>
    <x v="2"/>
    <n v="41"/>
    <x v="1287"/>
    <x v="59"/>
    <d v="2025-03-02T00:00:00"/>
    <x v="2"/>
    <x v="3"/>
    <x v="4"/>
    <x v="0"/>
    <x v="21"/>
    <x v="3"/>
    <x v="8"/>
    <x v="2"/>
  </r>
  <r>
    <x v="1607"/>
    <x v="16"/>
    <x v="2"/>
    <n v="54.1"/>
    <x v="1288"/>
    <x v="59"/>
    <d v="2025-03-03T00:00:00"/>
    <x v="2"/>
    <x v="4"/>
    <x v="0"/>
    <x v="0"/>
    <x v="21"/>
    <x v="1"/>
    <x v="8"/>
    <x v="2"/>
  </r>
  <r>
    <x v="1608"/>
    <x v="11"/>
    <x v="1"/>
    <n v="39"/>
    <x v="292"/>
    <x v="59"/>
    <d v="2025-03-02T00:00:00"/>
    <x v="1"/>
    <x v="1"/>
    <x v="2"/>
    <x v="0"/>
    <x v="1"/>
    <x v="3"/>
    <x v="8"/>
    <x v="1"/>
  </r>
  <r>
    <x v="1609"/>
    <x v="8"/>
    <x v="1"/>
    <n v="40.299999999999997"/>
    <x v="7"/>
    <x v="59"/>
    <d v="2025-03-03T00:00:00"/>
    <x v="1"/>
    <x v="3"/>
    <x v="0"/>
    <x v="0"/>
    <x v="27"/>
    <x v="1"/>
    <x v="8"/>
    <x v="1"/>
  </r>
  <r>
    <x v="1610"/>
    <x v="8"/>
    <x v="2"/>
    <n v="24.1"/>
    <x v="1289"/>
    <x v="59"/>
    <d v="2025-03-02T00:00:00"/>
    <x v="1"/>
    <x v="0"/>
    <x v="2"/>
    <x v="0"/>
    <x v="34"/>
    <x v="3"/>
    <x v="8"/>
    <x v="1"/>
  </r>
  <r>
    <x v="1611"/>
    <x v="6"/>
    <x v="9"/>
    <n v="52.3"/>
    <x v="1290"/>
    <x v="59"/>
    <d v="2025-03-02T00:00:00"/>
    <x v="1"/>
    <x v="2"/>
    <x v="0"/>
    <x v="0"/>
    <x v="3"/>
    <x v="3"/>
    <x v="8"/>
    <x v="1"/>
  </r>
  <r>
    <x v="1612"/>
    <x v="12"/>
    <x v="12"/>
    <n v="68.8"/>
    <x v="1291"/>
    <x v="59"/>
    <d v="2025-03-05T00:00:00"/>
    <x v="2"/>
    <x v="4"/>
    <x v="2"/>
    <x v="0"/>
    <x v="3"/>
    <x v="5"/>
    <x v="8"/>
    <x v="2"/>
  </r>
  <r>
    <x v="1613"/>
    <x v="2"/>
    <x v="1"/>
    <n v="128.80000000000001"/>
    <x v="1292"/>
    <x v="60"/>
    <d v="2025-03-05T00:00:00"/>
    <x v="2"/>
    <x v="1"/>
    <x v="1"/>
    <x v="0"/>
    <x v="3"/>
    <x v="2"/>
    <x v="9"/>
    <x v="2"/>
  </r>
  <r>
    <x v="1614"/>
    <x v="15"/>
    <x v="9"/>
    <n v="48.2"/>
    <x v="1044"/>
    <x v="60"/>
    <d v="2025-03-04T00:00:00"/>
    <x v="2"/>
    <x v="3"/>
    <x v="0"/>
    <x v="0"/>
    <x v="3"/>
    <x v="1"/>
    <x v="9"/>
    <x v="2"/>
  </r>
  <r>
    <x v="1615"/>
    <x v="10"/>
    <x v="0"/>
    <n v="39.700000000000003"/>
    <x v="144"/>
    <x v="60"/>
    <d v="2025-03-04T00:00:00"/>
    <x v="2"/>
    <x v="0"/>
    <x v="1"/>
    <x v="0"/>
    <x v="3"/>
    <x v="1"/>
    <x v="9"/>
    <x v="2"/>
  </r>
  <r>
    <x v="1616"/>
    <x v="9"/>
    <x v="0"/>
    <n v="59.7"/>
    <x v="1201"/>
    <x v="60"/>
    <d v="2025-03-05T00:00:00"/>
    <x v="2"/>
    <x v="4"/>
    <x v="0"/>
    <x v="0"/>
    <x v="3"/>
    <x v="2"/>
    <x v="9"/>
    <x v="2"/>
  </r>
  <r>
    <x v="1617"/>
    <x v="6"/>
    <x v="0"/>
    <n v="48.3"/>
    <x v="1293"/>
    <x v="60"/>
    <d v="2025-03-16T00:00:00"/>
    <x v="3"/>
    <x v="0"/>
    <x v="2"/>
    <x v="0"/>
    <x v="3"/>
    <x v="12"/>
    <x v="9"/>
    <x v="3"/>
  </r>
  <r>
    <x v="1618"/>
    <x v="8"/>
    <x v="2"/>
    <n v="45.5"/>
    <x v="1294"/>
    <x v="60"/>
    <d v="2025-03-04T00:00:00"/>
    <x v="1"/>
    <x v="2"/>
    <x v="1"/>
    <x v="0"/>
    <x v="3"/>
    <x v="1"/>
    <x v="9"/>
    <x v="1"/>
  </r>
  <r>
    <x v="1619"/>
    <x v="9"/>
    <x v="6"/>
    <n v="51"/>
    <x v="1295"/>
    <x v="60"/>
    <d v="2025-03-02T00:00:00"/>
    <x v="2"/>
    <x v="2"/>
    <x v="0"/>
    <x v="0"/>
    <x v="3"/>
    <x v="7"/>
    <x v="9"/>
    <x v="2"/>
  </r>
  <r>
    <x v="1620"/>
    <x v="4"/>
    <x v="13"/>
    <n v="20.399999999999999"/>
    <x v="1296"/>
    <x v="60"/>
    <d v="2025-03-03T00:00:00"/>
    <x v="1"/>
    <x v="2"/>
    <x v="0"/>
    <x v="0"/>
    <x v="3"/>
    <x v="3"/>
    <x v="9"/>
    <x v="1"/>
  </r>
  <r>
    <x v="1621"/>
    <x v="10"/>
    <x v="1"/>
    <n v="30.4"/>
    <x v="1297"/>
    <x v="60"/>
    <d v="2025-03-04T00:00:00"/>
    <x v="1"/>
    <x v="2"/>
    <x v="0"/>
    <x v="0"/>
    <x v="3"/>
    <x v="1"/>
    <x v="9"/>
    <x v="1"/>
  </r>
  <r>
    <x v="1622"/>
    <x v="7"/>
    <x v="1"/>
    <n v="71.5"/>
    <x v="1298"/>
    <x v="60"/>
    <d v="2025-03-06T00:00:00"/>
    <x v="2"/>
    <x v="0"/>
    <x v="0"/>
    <x v="0"/>
    <x v="3"/>
    <x v="5"/>
    <x v="9"/>
    <x v="2"/>
  </r>
  <r>
    <x v="1623"/>
    <x v="8"/>
    <x v="13"/>
    <n v="18"/>
    <x v="807"/>
    <x v="60"/>
    <d v="2025-03-03T00:00:00"/>
    <x v="3"/>
    <x v="1"/>
    <x v="2"/>
    <x v="0"/>
    <x v="6"/>
    <x v="3"/>
    <x v="9"/>
    <x v="3"/>
  </r>
  <r>
    <x v="1624"/>
    <x v="15"/>
    <x v="5"/>
    <n v="45.6"/>
    <x v="1299"/>
    <x v="60"/>
    <d v="2025-03-03T00:00:00"/>
    <x v="3"/>
    <x v="1"/>
    <x v="1"/>
    <x v="0"/>
    <x v="7"/>
    <x v="3"/>
    <x v="9"/>
    <x v="3"/>
  </r>
  <r>
    <x v="1625"/>
    <x v="9"/>
    <x v="0"/>
    <n v="31.8"/>
    <x v="627"/>
    <x v="60"/>
    <d v="2025-03-06T00:00:00"/>
    <x v="2"/>
    <x v="0"/>
    <x v="2"/>
    <x v="0"/>
    <x v="7"/>
    <x v="5"/>
    <x v="9"/>
    <x v="2"/>
  </r>
  <r>
    <x v="1626"/>
    <x v="8"/>
    <x v="9"/>
    <n v="19.899999999999999"/>
    <x v="1300"/>
    <x v="60"/>
    <d v="2025-03-03T00:00:00"/>
    <x v="2"/>
    <x v="1"/>
    <x v="0"/>
    <x v="0"/>
    <x v="7"/>
    <x v="3"/>
    <x v="9"/>
    <x v="2"/>
  </r>
  <r>
    <x v="1627"/>
    <x v="12"/>
    <x v="11"/>
    <n v="52.1"/>
    <x v="1301"/>
    <x v="60"/>
    <d v="2025-03-04T00:00:00"/>
    <x v="1"/>
    <x v="0"/>
    <x v="0"/>
    <x v="0"/>
    <x v="8"/>
    <x v="1"/>
    <x v="9"/>
    <x v="1"/>
  </r>
  <r>
    <x v="1628"/>
    <x v="1"/>
    <x v="3"/>
    <n v="45.9"/>
    <x v="1198"/>
    <x v="60"/>
    <d v="2025-03-03T00:00:00"/>
    <x v="1"/>
    <x v="0"/>
    <x v="1"/>
    <x v="0"/>
    <x v="8"/>
    <x v="3"/>
    <x v="9"/>
    <x v="1"/>
  </r>
  <r>
    <x v="1629"/>
    <x v="1"/>
    <x v="7"/>
    <n v="115.9"/>
    <x v="1302"/>
    <x v="60"/>
    <d v="2025-03-05T00:00:00"/>
    <x v="2"/>
    <x v="1"/>
    <x v="0"/>
    <x v="0"/>
    <x v="8"/>
    <x v="2"/>
    <x v="9"/>
    <x v="2"/>
  </r>
  <r>
    <x v="1630"/>
    <x v="6"/>
    <x v="11"/>
    <n v="86"/>
    <x v="1303"/>
    <x v="60"/>
    <d v="2025-03-07T00:00:00"/>
    <x v="2"/>
    <x v="0"/>
    <x v="1"/>
    <x v="0"/>
    <x v="8"/>
    <x v="0"/>
    <x v="9"/>
    <x v="2"/>
  </r>
  <r>
    <x v="1631"/>
    <x v="7"/>
    <x v="3"/>
    <n v="73.599999999999994"/>
    <x v="1304"/>
    <x v="60"/>
    <d v="2025-03-04T00:00:00"/>
    <x v="2"/>
    <x v="0"/>
    <x v="0"/>
    <x v="0"/>
    <x v="17"/>
    <x v="1"/>
    <x v="9"/>
    <x v="2"/>
  </r>
  <r>
    <x v="1632"/>
    <x v="10"/>
    <x v="2"/>
    <n v="26.7"/>
    <x v="1133"/>
    <x v="60"/>
    <d v="2025-03-06T00:00:00"/>
    <x v="2"/>
    <x v="0"/>
    <x v="0"/>
    <x v="0"/>
    <x v="11"/>
    <x v="5"/>
    <x v="9"/>
    <x v="2"/>
  </r>
  <r>
    <x v="1633"/>
    <x v="8"/>
    <x v="3"/>
    <n v="46.6"/>
    <x v="1305"/>
    <x v="60"/>
    <d v="2025-03-04T00:00:00"/>
    <x v="0"/>
    <x v="3"/>
    <x v="0"/>
    <x v="0"/>
    <x v="11"/>
    <x v="1"/>
    <x v="9"/>
    <x v="0"/>
  </r>
  <r>
    <x v="1634"/>
    <x v="3"/>
    <x v="2"/>
    <n v="84.6"/>
    <x v="1306"/>
    <x v="60"/>
    <d v="2025-03-04T00:00:00"/>
    <x v="1"/>
    <x v="4"/>
    <x v="0"/>
    <x v="0"/>
    <x v="11"/>
    <x v="1"/>
    <x v="9"/>
    <x v="1"/>
  </r>
  <r>
    <x v="1635"/>
    <x v="7"/>
    <x v="21"/>
    <n v="41.5"/>
    <x v="1307"/>
    <x v="60"/>
    <d v="2025-03-16T00:00:00"/>
    <x v="1"/>
    <x v="1"/>
    <x v="0"/>
    <x v="0"/>
    <x v="53"/>
    <x v="12"/>
    <x v="9"/>
    <x v="1"/>
  </r>
  <r>
    <x v="1636"/>
    <x v="8"/>
    <x v="0"/>
    <n v="32.799999999999997"/>
    <x v="944"/>
    <x v="60"/>
    <d v="2025-03-05T00:00:00"/>
    <x v="1"/>
    <x v="0"/>
    <x v="2"/>
    <x v="0"/>
    <x v="30"/>
    <x v="2"/>
    <x v="9"/>
    <x v="1"/>
  </r>
  <r>
    <x v="1637"/>
    <x v="4"/>
    <x v="3"/>
    <n v="46.7"/>
    <x v="1308"/>
    <x v="60"/>
    <d v="2025-03-04T00:00:00"/>
    <x v="3"/>
    <x v="0"/>
    <x v="2"/>
    <x v="0"/>
    <x v="18"/>
    <x v="1"/>
    <x v="9"/>
    <x v="3"/>
  </r>
  <r>
    <x v="1638"/>
    <x v="15"/>
    <x v="3"/>
    <n v="21"/>
    <x v="926"/>
    <x v="60"/>
    <d v="2025-03-05T00:00:00"/>
    <x v="1"/>
    <x v="2"/>
    <x v="1"/>
    <x v="0"/>
    <x v="21"/>
    <x v="2"/>
    <x v="9"/>
    <x v="1"/>
  </r>
  <r>
    <x v="1639"/>
    <x v="5"/>
    <x v="3"/>
    <n v="29.4"/>
    <x v="43"/>
    <x v="60"/>
    <d v="2025-03-02T00:00:00"/>
    <x v="1"/>
    <x v="3"/>
    <x v="2"/>
    <x v="0"/>
    <x v="21"/>
    <x v="7"/>
    <x v="9"/>
    <x v="1"/>
  </r>
  <r>
    <x v="1640"/>
    <x v="15"/>
    <x v="1"/>
    <n v="32.299999999999997"/>
    <x v="1099"/>
    <x v="60"/>
    <d v="2025-03-03T00:00:00"/>
    <x v="1"/>
    <x v="0"/>
    <x v="2"/>
    <x v="0"/>
    <x v="21"/>
    <x v="3"/>
    <x v="9"/>
    <x v="1"/>
  </r>
  <r>
    <x v="1641"/>
    <x v="6"/>
    <x v="0"/>
    <n v="42.2"/>
    <x v="1283"/>
    <x v="61"/>
    <d v="2025-03-05T00:00:00"/>
    <x v="2"/>
    <x v="0"/>
    <x v="2"/>
    <x v="0"/>
    <x v="21"/>
    <x v="1"/>
    <x v="9"/>
    <x v="2"/>
  </r>
  <r>
    <x v="1642"/>
    <x v="6"/>
    <x v="0"/>
    <n v="53.7"/>
    <x v="1309"/>
    <x v="61"/>
    <d v="2025-03-05T00:00:00"/>
    <x v="1"/>
    <x v="1"/>
    <x v="1"/>
    <x v="0"/>
    <x v="1"/>
    <x v="1"/>
    <x v="9"/>
    <x v="1"/>
  </r>
  <r>
    <x v="1643"/>
    <x v="2"/>
    <x v="1"/>
    <n v="123.9"/>
    <x v="1310"/>
    <x v="61"/>
    <d v="2025-03-06T00:00:00"/>
    <x v="1"/>
    <x v="2"/>
    <x v="0"/>
    <x v="0"/>
    <x v="1"/>
    <x v="2"/>
    <x v="9"/>
    <x v="1"/>
  </r>
  <r>
    <x v="1644"/>
    <x v="4"/>
    <x v="2"/>
    <n v="35.9"/>
    <x v="1311"/>
    <x v="61"/>
    <d v="2025-03-05T00:00:00"/>
    <x v="1"/>
    <x v="2"/>
    <x v="0"/>
    <x v="0"/>
    <x v="22"/>
    <x v="1"/>
    <x v="9"/>
    <x v="1"/>
  </r>
  <r>
    <x v="1645"/>
    <x v="4"/>
    <x v="1"/>
    <n v="23.6"/>
    <x v="828"/>
    <x v="61"/>
    <d v="2025-03-06T00:00:00"/>
    <x v="1"/>
    <x v="0"/>
    <x v="2"/>
    <x v="0"/>
    <x v="3"/>
    <x v="2"/>
    <x v="9"/>
    <x v="1"/>
  </r>
  <r>
    <x v="1646"/>
    <x v="15"/>
    <x v="36"/>
    <n v="45.7"/>
    <x v="1312"/>
    <x v="61"/>
    <d v="2025-03-04T00:00:00"/>
    <x v="1"/>
    <x v="0"/>
    <x v="1"/>
    <x v="0"/>
    <x v="3"/>
    <x v="3"/>
    <x v="9"/>
    <x v="1"/>
  </r>
  <r>
    <x v="1647"/>
    <x v="6"/>
    <x v="5"/>
    <n v="118.3"/>
    <x v="1313"/>
    <x v="61"/>
    <d v="2025-03-05T00:00:00"/>
    <x v="1"/>
    <x v="4"/>
    <x v="2"/>
    <x v="0"/>
    <x v="3"/>
    <x v="1"/>
    <x v="9"/>
    <x v="1"/>
  </r>
  <r>
    <x v="1648"/>
    <x v="19"/>
    <x v="0"/>
    <n v="36"/>
    <x v="53"/>
    <x v="61"/>
    <d v="2025-03-04T00:00:00"/>
    <x v="2"/>
    <x v="0"/>
    <x v="1"/>
    <x v="0"/>
    <x v="3"/>
    <x v="3"/>
    <x v="9"/>
    <x v="2"/>
  </r>
  <r>
    <x v="1649"/>
    <x v="8"/>
    <x v="1"/>
    <n v="37.1"/>
    <x v="1314"/>
    <x v="61"/>
    <d v="2025-03-06T00:00:00"/>
    <x v="2"/>
    <x v="2"/>
    <x v="0"/>
    <x v="0"/>
    <x v="3"/>
    <x v="2"/>
    <x v="9"/>
    <x v="2"/>
  </r>
  <r>
    <x v="1650"/>
    <x v="18"/>
    <x v="2"/>
    <n v="45.1"/>
    <x v="246"/>
    <x v="61"/>
    <d v="2025-03-05T00:00:00"/>
    <x v="2"/>
    <x v="1"/>
    <x v="2"/>
    <x v="0"/>
    <x v="3"/>
    <x v="1"/>
    <x v="9"/>
    <x v="2"/>
  </r>
  <r>
    <x v="1651"/>
    <x v="5"/>
    <x v="27"/>
    <n v="37.9"/>
    <x v="1315"/>
    <x v="61"/>
    <d v="2025-03-04T00:00:00"/>
    <x v="2"/>
    <x v="3"/>
    <x v="2"/>
    <x v="0"/>
    <x v="3"/>
    <x v="3"/>
    <x v="9"/>
    <x v="2"/>
  </r>
  <r>
    <x v="1652"/>
    <x v="2"/>
    <x v="1"/>
    <n v="121.6"/>
    <x v="1316"/>
    <x v="61"/>
    <d v="2025-03-06T00:00:00"/>
    <x v="1"/>
    <x v="3"/>
    <x v="2"/>
    <x v="0"/>
    <x v="3"/>
    <x v="2"/>
    <x v="9"/>
    <x v="1"/>
  </r>
  <r>
    <x v="1653"/>
    <x v="5"/>
    <x v="3"/>
    <n v="38.200000000000003"/>
    <x v="1317"/>
    <x v="61"/>
    <d v="2025-03-06T00:00:00"/>
    <x v="2"/>
    <x v="0"/>
    <x v="0"/>
    <x v="0"/>
    <x v="3"/>
    <x v="2"/>
    <x v="9"/>
    <x v="2"/>
  </r>
  <r>
    <x v="1654"/>
    <x v="17"/>
    <x v="1"/>
    <n v="37.200000000000003"/>
    <x v="610"/>
    <x v="61"/>
    <d v="2025-03-06T00:00:00"/>
    <x v="1"/>
    <x v="4"/>
    <x v="0"/>
    <x v="0"/>
    <x v="3"/>
    <x v="2"/>
    <x v="9"/>
    <x v="1"/>
  </r>
  <r>
    <x v="1655"/>
    <x v="2"/>
    <x v="12"/>
    <n v="115.7"/>
    <x v="1318"/>
    <x v="61"/>
    <d v="2025-03-06T00:00:00"/>
    <x v="2"/>
    <x v="1"/>
    <x v="0"/>
    <x v="0"/>
    <x v="3"/>
    <x v="2"/>
    <x v="9"/>
    <x v="2"/>
  </r>
  <r>
    <x v="1656"/>
    <x v="2"/>
    <x v="13"/>
    <n v="99.4"/>
    <x v="1319"/>
    <x v="61"/>
    <d v="2025-03-06T00:00:00"/>
    <x v="1"/>
    <x v="0"/>
    <x v="2"/>
    <x v="0"/>
    <x v="3"/>
    <x v="2"/>
    <x v="9"/>
    <x v="1"/>
  </r>
  <r>
    <x v="1657"/>
    <x v="11"/>
    <x v="0"/>
    <n v="38.700000000000003"/>
    <x v="1320"/>
    <x v="61"/>
    <d v="2025-03-04T00:00:00"/>
    <x v="2"/>
    <x v="2"/>
    <x v="0"/>
    <x v="0"/>
    <x v="25"/>
    <x v="3"/>
    <x v="9"/>
    <x v="2"/>
  </r>
  <r>
    <x v="1658"/>
    <x v="4"/>
    <x v="1"/>
    <n v="35.5"/>
    <x v="1321"/>
    <x v="61"/>
    <d v="2025-03-06T00:00:00"/>
    <x v="1"/>
    <x v="0"/>
    <x v="2"/>
    <x v="0"/>
    <x v="25"/>
    <x v="2"/>
    <x v="9"/>
    <x v="1"/>
  </r>
  <r>
    <x v="1659"/>
    <x v="2"/>
    <x v="12"/>
    <n v="93.3"/>
    <x v="1322"/>
    <x v="61"/>
    <d v="2025-03-06T00:00:00"/>
    <x v="2"/>
    <x v="0"/>
    <x v="2"/>
    <x v="0"/>
    <x v="6"/>
    <x v="2"/>
    <x v="9"/>
    <x v="2"/>
  </r>
  <r>
    <x v="1660"/>
    <x v="16"/>
    <x v="0"/>
    <n v="31.4"/>
    <x v="1323"/>
    <x v="61"/>
    <d v="2025-03-08T00:00:00"/>
    <x v="2"/>
    <x v="2"/>
    <x v="2"/>
    <x v="0"/>
    <x v="6"/>
    <x v="0"/>
    <x v="9"/>
    <x v="2"/>
  </r>
  <r>
    <x v="1661"/>
    <x v="1"/>
    <x v="0"/>
    <n v="85.9"/>
    <x v="1324"/>
    <x v="61"/>
    <d v="2025-03-06T00:00:00"/>
    <x v="1"/>
    <x v="1"/>
    <x v="0"/>
    <x v="0"/>
    <x v="6"/>
    <x v="2"/>
    <x v="9"/>
    <x v="1"/>
  </r>
  <r>
    <x v="1662"/>
    <x v="6"/>
    <x v="8"/>
    <n v="41.7"/>
    <x v="335"/>
    <x v="61"/>
    <d v="2025-03-11T00:00:00"/>
    <x v="1"/>
    <x v="0"/>
    <x v="2"/>
    <x v="0"/>
    <x v="7"/>
    <x v="9"/>
    <x v="9"/>
    <x v="1"/>
  </r>
  <r>
    <x v="1663"/>
    <x v="8"/>
    <x v="12"/>
    <n v="31.5"/>
    <x v="624"/>
    <x v="61"/>
    <d v="2025-03-04T00:00:00"/>
    <x v="2"/>
    <x v="0"/>
    <x v="0"/>
    <x v="0"/>
    <x v="7"/>
    <x v="3"/>
    <x v="9"/>
    <x v="2"/>
  </r>
  <r>
    <x v="1664"/>
    <x v="8"/>
    <x v="1"/>
    <n v="36.299999999999997"/>
    <x v="1325"/>
    <x v="61"/>
    <d v="2025-03-04T00:00:00"/>
    <x v="2"/>
    <x v="0"/>
    <x v="4"/>
    <x v="0"/>
    <x v="8"/>
    <x v="3"/>
    <x v="9"/>
    <x v="2"/>
  </r>
  <r>
    <x v="1665"/>
    <x v="8"/>
    <x v="2"/>
    <n v="33.4"/>
    <x v="1326"/>
    <x v="61"/>
    <d v="2025-03-04T00:00:00"/>
    <x v="2"/>
    <x v="3"/>
    <x v="0"/>
    <x v="0"/>
    <x v="17"/>
    <x v="3"/>
    <x v="9"/>
    <x v="2"/>
  </r>
  <r>
    <x v="1666"/>
    <x v="2"/>
    <x v="2"/>
    <n v="65.2"/>
    <x v="1327"/>
    <x v="61"/>
    <d v="2025-03-04T00:00:00"/>
    <x v="2"/>
    <x v="2"/>
    <x v="2"/>
    <x v="0"/>
    <x v="26"/>
    <x v="3"/>
    <x v="9"/>
    <x v="2"/>
  </r>
  <r>
    <x v="1667"/>
    <x v="8"/>
    <x v="11"/>
    <n v="65.5"/>
    <x v="1328"/>
    <x v="61"/>
    <d v="2025-03-06T00:00:00"/>
    <x v="2"/>
    <x v="0"/>
    <x v="2"/>
    <x v="0"/>
    <x v="9"/>
    <x v="2"/>
    <x v="9"/>
    <x v="2"/>
  </r>
  <r>
    <x v="1668"/>
    <x v="6"/>
    <x v="2"/>
    <n v="52.8"/>
    <x v="1329"/>
    <x v="61"/>
    <d v="2025-03-06T00:00:00"/>
    <x v="1"/>
    <x v="2"/>
    <x v="0"/>
    <x v="0"/>
    <x v="9"/>
    <x v="2"/>
    <x v="9"/>
    <x v="1"/>
  </r>
  <r>
    <x v="1669"/>
    <x v="9"/>
    <x v="9"/>
    <n v="24"/>
    <x v="160"/>
    <x v="61"/>
    <d v="2025-03-07T00:00:00"/>
    <x v="1"/>
    <x v="0"/>
    <x v="1"/>
    <x v="0"/>
    <x v="11"/>
    <x v="5"/>
    <x v="9"/>
    <x v="1"/>
  </r>
  <r>
    <x v="1670"/>
    <x v="3"/>
    <x v="2"/>
    <n v="51.2"/>
    <x v="1330"/>
    <x v="61"/>
    <d v="2025-03-04T00:00:00"/>
    <x v="2"/>
    <x v="0"/>
    <x v="0"/>
    <x v="0"/>
    <x v="32"/>
    <x v="3"/>
    <x v="9"/>
    <x v="2"/>
  </r>
  <r>
    <x v="1671"/>
    <x v="5"/>
    <x v="2"/>
    <n v="28.3"/>
    <x v="1331"/>
    <x v="61"/>
    <d v="2025-03-05T00:00:00"/>
    <x v="1"/>
    <x v="4"/>
    <x v="0"/>
    <x v="0"/>
    <x v="19"/>
    <x v="1"/>
    <x v="9"/>
    <x v="1"/>
  </r>
  <r>
    <x v="1672"/>
    <x v="6"/>
    <x v="2"/>
    <n v="42.3"/>
    <x v="1332"/>
    <x v="61"/>
    <d v="2025-03-03T00:00:00"/>
    <x v="2"/>
    <x v="2"/>
    <x v="1"/>
    <x v="0"/>
    <x v="19"/>
    <x v="7"/>
    <x v="9"/>
    <x v="2"/>
  </r>
  <r>
    <x v="1673"/>
    <x v="2"/>
    <x v="8"/>
    <n v="163.30000000000001"/>
    <x v="1333"/>
    <x v="62"/>
    <d v="2025-03-05T00:00:00"/>
    <x v="2"/>
    <x v="1"/>
    <x v="0"/>
    <x v="0"/>
    <x v="13"/>
    <x v="3"/>
    <x v="9"/>
    <x v="2"/>
  </r>
  <r>
    <x v="1674"/>
    <x v="6"/>
    <x v="3"/>
    <n v="47.3"/>
    <x v="1334"/>
    <x v="62"/>
    <d v="2025-03-07T00:00:00"/>
    <x v="2"/>
    <x v="4"/>
    <x v="1"/>
    <x v="0"/>
    <x v="21"/>
    <x v="2"/>
    <x v="9"/>
    <x v="2"/>
  </r>
  <r>
    <x v="1675"/>
    <x v="8"/>
    <x v="27"/>
    <n v="27.3"/>
    <x v="1335"/>
    <x v="62"/>
    <d v="2025-03-05T00:00:00"/>
    <x v="2"/>
    <x v="2"/>
    <x v="0"/>
    <x v="0"/>
    <x v="21"/>
    <x v="3"/>
    <x v="9"/>
    <x v="2"/>
  </r>
  <r>
    <x v="1676"/>
    <x v="10"/>
    <x v="13"/>
    <n v="34.9"/>
    <x v="1336"/>
    <x v="62"/>
    <d v="2025-03-15T00:00:00"/>
    <x v="2"/>
    <x v="0"/>
    <x v="0"/>
    <x v="0"/>
    <x v="21"/>
    <x v="11"/>
    <x v="9"/>
    <x v="2"/>
  </r>
  <r>
    <x v="1677"/>
    <x v="6"/>
    <x v="1"/>
    <n v="53.9"/>
    <x v="215"/>
    <x v="62"/>
    <d v="2025-03-07T00:00:00"/>
    <x v="3"/>
    <x v="0"/>
    <x v="4"/>
    <x v="0"/>
    <x v="1"/>
    <x v="2"/>
    <x v="9"/>
    <x v="3"/>
  </r>
  <r>
    <x v="1678"/>
    <x v="2"/>
    <x v="1"/>
    <n v="87.2"/>
    <x v="1337"/>
    <x v="62"/>
    <d v="2025-03-05T00:00:00"/>
    <x v="2"/>
    <x v="0"/>
    <x v="1"/>
    <x v="0"/>
    <x v="1"/>
    <x v="3"/>
    <x v="9"/>
    <x v="2"/>
  </r>
  <r>
    <x v="1679"/>
    <x v="15"/>
    <x v="0"/>
    <n v="58.8"/>
    <x v="572"/>
    <x v="62"/>
    <d v="2025-03-06T00:00:00"/>
    <x v="2"/>
    <x v="2"/>
    <x v="0"/>
    <x v="0"/>
    <x v="44"/>
    <x v="1"/>
    <x v="9"/>
    <x v="2"/>
  </r>
  <r>
    <x v="1680"/>
    <x v="2"/>
    <x v="3"/>
    <n v="125.5"/>
    <x v="1338"/>
    <x v="62"/>
    <d v="2025-03-05T00:00:00"/>
    <x v="1"/>
    <x v="2"/>
    <x v="4"/>
    <x v="0"/>
    <x v="22"/>
    <x v="3"/>
    <x v="9"/>
    <x v="1"/>
  </r>
  <r>
    <x v="1681"/>
    <x v="1"/>
    <x v="12"/>
    <n v="124.6"/>
    <x v="1339"/>
    <x v="62"/>
    <d v="2025-03-06T00:00:00"/>
    <x v="2"/>
    <x v="0"/>
    <x v="1"/>
    <x v="0"/>
    <x v="22"/>
    <x v="1"/>
    <x v="9"/>
    <x v="2"/>
  </r>
  <r>
    <x v="1682"/>
    <x v="1"/>
    <x v="3"/>
    <n v="39.9"/>
    <x v="1340"/>
    <x v="62"/>
    <d v="2025-03-05T00:00:00"/>
    <x v="1"/>
    <x v="2"/>
    <x v="1"/>
    <x v="0"/>
    <x v="3"/>
    <x v="3"/>
    <x v="9"/>
    <x v="1"/>
  </r>
  <r>
    <x v="1683"/>
    <x v="6"/>
    <x v="0"/>
    <n v="94.6"/>
    <x v="422"/>
    <x v="62"/>
    <d v="2025-03-18T00:00:00"/>
    <x v="2"/>
    <x v="0"/>
    <x v="1"/>
    <x v="0"/>
    <x v="3"/>
    <x v="12"/>
    <x v="9"/>
    <x v="2"/>
  </r>
  <r>
    <x v="1684"/>
    <x v="2"/>
    <x v="1"/>
    <n v="149.6"/>
    <x v="1341"/>
    <x v="62"/>
    <d v="2025-03-05T00:00:00"/>
    <x v="2"/>
    <x v="0"/>
    <x v="0"/>
    <x v="0"/>
    <x v="3"/>
    <x v="3"/>
    <x v="9"/>
    <x v="2"/>
  </r>
  <r>
    <x v="1685"/>
    <x v="8"/>
    <x v="0"/>
    <n v="52.2"/>
    <x v="1342"/>
    <x v="62"/>
    <d v="2025-03-05T00:00:00"/>
    <x v="0"/>
    <x v="1"/>
    <x v="0"/>
    <x v="0"/>
    <x v="3"/>
    <x v="3"/>
    <x v="9"/>
    <x v="0"/>
  </r>
  <r>
    <x v="1686"/>
    <x v="6"/>
    <x v="1"/>
    <n v="96.5"/>
    <x v="1343"/>
    <x v="62"/>
    <d v="2025-03-05T00:00:00"/>
    <x v="2"/>
    <x v="1"/>
    <x v="1"/>
    <x v="0"/>
    <x v="3"/>
    <x v="3"/>
    <x v="9"/>
    <x v="2"/>
  </r>
  <r>
    <x v="1687"/>
    <x v="8"/>
    <x v="1"/>
    <n v="79.8"/>
    <x v="1344"/>
    <x v="62"/>
    <d v="2025-03-06T00:00:00"/>
    <x v="2"/>
    <x v="0"/>
    <x v="1"/>
    <x v="0"/>
    <x v="3"/>
    <x v="1"/>
    <x v="9"/>
    <x v="2"/>
  </r>
  <r>
    <x v="1688"/>
    <x v="8"/>
    <x v="2"/>
    <n v="35.6"/>
    <x v="694"/>
    <x v="62"/>
    <d v="2025-03-05T00:00:00"/>
    <x v="2"/>
    <x v="2"/>
    <x v="0"/>
    <x v="0"/>
    <x v="3"/>
    <x v="3"/>
    <x v="9"/>
    <x v="2"/>
  </r>
  <r>
    <x v="1689"/>
    <x v="16"/>
    <x v="0"/>
    <n v="50.2"/>
    <x v="486"/>
    <x v="62"/>
    <d v="2025-03-05T00:00:00"/>
    <x v="2"/>
    <x v="1"/>
    <x v="2"/>
    <x v="0"/>
    <x v="3"/>
    <x v="3"/>
    <x v="9"/>
    <x v="2"/>
  </r>
  <r>
    <x v="1690"/>
    <x v="1"/>
    <x v="2"/>
    <n v="55.3"/>
    <x v="1345"/>
    <x v="62"/>
    <d v="2025-03-07T00:00:00"/>
    <x v="2"/>
    <x v="0"/>
    <x v="4"/>
    <x v="0"/>
    <x v="40"/>
    <x v="2"/>
    <x v="9"/>
    <x v="2"/>
  </r>
  <r>
    <x v="1691"/>
    <x v="6"/>
    <x v="3"/>
    <n v="104.5"/>
    <x v="1346"/>
    <x v="62"/>
    <d v="2025-03-08T00:00:00"/>
    <x v="2"/>
    <x v="1"/>
    <x v="0"/>
    <x v="0"/>
    <x v="7"/>
    <x v="5"/>
    <x v="9"/>
    <x v="2"/>
  </r>
  <r>
    <x v="1692"/>
    <x v="6"/>
    <x v="12"/>
    <n v="66.5"/>
    <x v="751"/>
    <x v="62"/>
    <d v="2025-03-06T00:00:00"/>
    <x v="1"/>
    <x v="1"/>
    <x v="0"/>
    <x v="0"/>
    <x v="7"/>
    <x v="1"/>
    <x v="9"/>
    <x v="1"/>
  </r>
  <r>
    <x v="1693"/>
    <x v="10"/>
    <x v="8"/>
    <n v="38.299999999999997"/>
    <x v="1347"/>
    <x v="62"/>
    <d v="2025-03-05T00:00:00"/>
    <x v="2"/>
    <x v="0"/>
    <x v="0"/>
    <x v="0"/>
    <x v="7"/>
    <x v="3"/>
    <x v="9"/>
    <x v="2"/>
  </r>
  <r>
    <x v="1694"/>
    <x v="6"/>
    <x v="2"/>
    <n v="63.8"/>
    <x v="1348"/>
    <x v="62"/>
    <d v="2025-03-07T00:00:00"/>
    <x v="2"/>
    <x v="1"/>
    <x v="0"/>
    <x v="0"/>
    <x v="8"/>
    <x v="2"/>
    <x v="9"/>
    <x v="2"/>
  </r>
  <r>
    <x v="1695"/>
    <x v="15"/>
    <x v="0"/>
    <n v="21.4"/>
    <x v="1349"/>
    <x v="62"/>
    <d v="2025-03-04T00:00:00"/>
    <x v="1"/>
    <x v="4"/>
    <x v="0"/>
    <x v="0"/>
    <x v="8"/>
    <x v="7"/>
    <x v="9"/>
    <x v="1"/>
  </r>
  <r>
    <x v="1696"/>
    <x v="8"/>
    <x v="12"/>
    <n v="44.1"/>
    <x v="1350"/>
    <x v="62"/>
    <d v="2025-03-06T00:00:00"/>
    <x v="2"/>
    <x v="2"/>
    <x v="0"/>
    <x v="0"/>
    <x v="8"/>
    <x v="1"/>
    <x v="9"/>
    <x v="2"/>
  </r>
  <r>
    <x v="1697"/>
    <x v="5"/>
    <x v="8"/>
    <n v="57.6"/>
    <x v="1351"/>
    <x v="62"/>
    <d v="2025-03-06T00:00:00"/>
    <x v="1"/>
    <x v="1"/>
    <x v="2"/>
    <x v="0"/>
    <x v="8"/>
    <x v="1"/>
    <x v="9"/>
    <x v="1"/>
  </r>
  <r>
    <x v="1698"/>
    <x v="9"/>
    <x v="1"/>
    <n v="20.3"/>
    <x v="1352"/>
    <x v="62"/>
    <d v="2025-03-10T00:00:00"/>
    <x v="2"/>
    <x v="3"/>
    <x v="0"/>
    <x v="0"/>
    <x v="8"/>
    <x v="4"/>
    <x v="9"/>
    <x v="2"/>
  </r>
  <r>
    <x v="1699"/>
    <x v="8"/>
    <x v="0"/>
    <n v="22.9"/>
    <x v="1246"/>
    <x v="62"/>
    <d v="2025-03-06T00:00:00"/>
    <x v="2"/>
    <x v="2"/>
    <x v="2"/>
    <x v="0"/>
    <x v="8"/>
    <x v="1"/>
    <x v="9"/>
    <x v="2"/>
  </r>
  <r>
    <x v="1700"/>
    <x v="6"/>
    <x v="12"/>
    <n v="105.9"/>
    <x v="1353"/>
    <x v="62"/>
    <d v="2025-03-05T00:00:00"/>
    <x v="2"/>
    <x v="1"/>
    <x v="2"/>
    <x v="0"/>
    <x v="17"/>
    <x v="3"/>
    <x v="9"/>
    <x v="2"/>
  </r>
  <r>
    <x v="1701"/>
    <x v="1"/>
    <x v="11"/>
    <n v="37.4"/>
    <x v="1354"/>
    <x v="62"/>
    <d v="2025-03-08T00:00:00"/>
    <x v="1"/>
    <x v="1"/>
    <x v="0"/>
    <x v="0"/>
    <x v="11"/>
    <x v="5"/>
    <x v="9"/>
    <x v="1"/>
  </r>
  <r>
    <x v="1702"/>
    <x v="18"/>
    <x v="1"/>
    <n v="79"/>
    <x v="1355"/>
    <x v="62"/>
    <d v="2025-03-05T00:00:00"/>
    <x v="1"/>
    <x v="2"/>
    <x v="0"/>
    <x v="0"/>
    <x v="28"/>
    <x v="3"/>
    <x v="9"/>
    <x v="1"/>
  </r>
  <r>
    <x v="1703"/>
    <x v="0"/>
    <x v="2"/>
    <n v="19.3"/>
    <x v="1356"/>
    <x v="62"/>
    <d v="2025-03-05T00:00:00"/>
    <x v="2"/>
    <x v="4"/>
    <x v="0"/>
    <x v="0"/>
    <x v="21"/>
    <x v="3"/>
    <x v="9"/>
    <x v="2"/>
  </r>
  <r>
    <x v="1704"/>
    <x v="0"/>
    <x v="0"/>
    <n v="24"/>
    <x v="835"/>
    <x v="62"/>
    <d v="2025-03-05T00:00:00"/>
    <x v="2"/>
    <x v="1"/>
    <x v="0"/>
    <x v="0"/>
    <x v="1"/>
    <x v="3"/>
    <x v="9"/>
    <x v="2"/>
  </r>
  <r>
    <x v="1705"/>
    <x v="6"/>
    <x v="9"/>
    <n v="71.3"/>
    <x v="1357"/>
    <x v="62"/>
    <d v="2025-03-07T00:00:00"/>
    <x v="2"/>
    <x v="2"/>
    <x v="0"/>
    <x v="0"/>
    <x v="2"/>
    <x v="2"/>
    <x v="9"/>
    <x v="2"/>
  </r>
  <r>
    <x v="1706"/>
    <x v="5"/>
    <x v="1"/>
    <n v="166.2"/>
    <x v="1358"/>
    <x v="62"/>
    <d v="2025-03-05T00:00:00"/>
    <x v="1"/>
    <x v="0"/>
    <x v="2"/>
    <x v="0"/>
    <x v="50"/>
    <x v="3"/>
    <x v="9"/>
    <x v="1"/>
  </r>
  <r>
    <x v="1707"/>
    <x v="6"/>
    <x v="0"/>
    <n v="81"/>
    <x v="969"/>
    <x v="62"/>
    <d v="2025-03-05T00:00:00"/>
    <x v="2"/>
    <x v="2"/>
    <x v="1"/>
    <x v="0"/>
    <x v="3"/>
    <x v="3"/>
    <x v="9"/>
    <x v="2"/>
  </r>
  <r>
    <x v="1708"/>
    <x v="10"/>
    <x v="13"/>
    <n v="38.5"/>
    <x v="1359"/>
    <x v="62"/>
    <d v="2025-03-08T00:00:00"/>
    <x v="2"/>
    <x v="0"/>
    <x v="0"/>
    <x v="0"/>
    <x v="3"/>
    <x v="5"/>
    <x v="9"/>
    <x v="2"/>
  </r>
  <r>
    <x v="1709"/>
    <x v="6"/>
    <x v="0"/>
    <n v="86.1"/>
    <x v="1360"/>
    <x v="62"/>
    <d v="2025-03-06T00:00:00"/>
    <x v="2"/>
    <x v="3"/>
    <x v="0"/>
    <x v="0"/>
    <x v="3"/>
    <x v="1"/>
    <x v="9"/>
    <x v="2"/>
  </r>
  <r>
    <x v="1710"/>
    <x v="2"/>
    <x v="9"/>
    <n v="51"/>
    <x v="951"/>
    <x v="62"/>
    <d v="2025-03-05T00:00:00"/>
    <x v="1"/>
    <x v="0"/>
    <x v="1"/>
    <x v="0"/>
    <x v="3"/>
    <x v="3"/>
    <x v="9"/>
    <x v="1"/>
  </r>
  <r>
    <x v="1711"/>
    <x v="3"/>
    <x v="9"/>
    <n v="115.4"/>
    <x v="1361"/>
    <x v="62"/>
    <d v="2025-03-05T00:00:00"/>
    <x v="1"/>
    <x v="0"/>
    <x v="0"/>
    <x v="0"/>
    <x v="3"/>
    <x v="3"/>
    <x v="9"/>
    <x v="1"/>
  </r>
  <r>
    <x v="1712"/>
    <x v="6"/>
    <x v="12"/>
    <n v="176.5"/>
    <x v="1362"/>
    <x v="62"/>
    <d v="2025-03-05T00:00:00"/>
    <x v="2"/>
    <x v="2"/>
    <x v="2"/>
    <x v="0"/>
    <x v="3"/>
    <x v="3"/>
    <x v="9"/>
    <x v="2"/>
  </r>
  <r>
    <x v="1713"/>
    <x v="7"/>
    <x v="2"/>
    <n v="48.9"/>
    <x v="1363"/>
    <x v="62"/>
    <d v="2025-03-05T00:00:00"/>
    <x v="1"/>
    <x v="4"/>
    <x v="0"/>
    <x v="0"/>
    <x v="3"/>
    <x v="3"/>
    <x v="9"/>
    <x v="1"/>
  </r>
  <r>
    <x v="1714"/>
    <x v="8"/>
    <x v="2"/>
    <n v="18.100000000000001"/>
    <x v="1364"/>
    <x v="62"/>
    <d v="2025-03-11T00:00:00"/>
    <x v="2"/>
    <x v="1"/>
    <x v="2"/>
    <x v="0"/>
    <x v="29"/>
    <x v="6"/>
    <x v="9"/>
    <x v="2"/>
  </r>
  <r>
    <x v="1715"/>
    <x v="2"/>
    <x v="1"/>
    <n v="118.5"/>
    <x v="1365"/>
    <x v="62"/>
    <d v="2025-03-07T00:00:00"/>
    <x v="1"/>
    <x v="1"/>
    <x v="2"/>
    <x v="0"/>
    <x v="16"/>
    <x v="2"/>
    <x v="9"/>
    <x v="1"/>
  </r>
  <r>
    <x v="1716"/>
    <x v="15"/>
    <x v="3"/>
    <n v="59.1"/>
    <x v="1366"/>
    <x v="62"/>
    <d v="2025-03-05T00:00:00"/>
    <x v="2"/>
    <x v="3"/>
    <x v="0"/>
    <x v="0"/>
    <x v="25"/>
    <x v="3"/>
    <x v="9"/>
    <x v="2"/>
  </r>
  <r>
    <x v="1717"/>
    <x v="4"/>
    <x v="0"/>
    <n v="21.2"/>
    <x v="333"/>
    <x v="62"/>
    <d v="2025-03-05T00:00:00"/>
    <x v="2"/>
    <x v="0"/>
    <x v="1"/>
    <x v="0"/>
    <x v="6"/>
    <x v="3"/>
    <x v="9"/>
    <x v="2"/>
  </r>
  <r>
    <x v="1718"/>
    <x v="6"/>
    <x v="1"/>
    <n v="68.8"/>
    <x v="1367"/>
    <x v="62"/>
    <d v="2025-03-09T00:00:00"/>
    <x v="2"/>
    <x v="3"/>
    <x v="2"/>
    <x v="0"/>
    <x v="6"/>
    <x v="0"/>
    <x v="9"/>
    <x v="2"/>
  </r>
  <r>
    <x v="1719"/>
    <x v="6"/>
    <x v="1"/>
    <n v="65.400000000000006"/>
    <x v="1272"/>
    <x v="62"/>
    <d v="2025-03-08T00:00:00"/>
    <x v="2"/>
    <x v="0"/>
    <x v="0"/>
    <x v="0"/>
    <x v="6"/>
    <x v="5"/>
    <x v="9"/>
    <x v="2"/>
  </r>
  <r>
    <x v="1720"/>
    <x v="12"/>
    <x v="9"/>
    <n v="66.3"/>
    <x v="1278"/>
    <x v="63"/>
    <d v="2025-03-08T00:00:00"/>
    <x v="2"/>
    <x v="4"/>
    <x v="0"/>
    <x v="0"/>
    <x v="6"/>
    <x v="2"/>
    <x v="9"/>
    <x v="2"/>
  </r>
  <r>
    <x v="1721"/>
    <x v="6"/>
    <x v="2"/>
    <n v="97.5"/>
    <x v="1368"/>
    <x v="63"/>
    <d v="2025-03-05T00:00:00"/>
    <x v="1"/>
    <x v="3"/>
    <x v="0"/>
    <x v="0"/>
    <x v="8"/>
    <x v="7"/>
    <x v="9"/>
    <x v="1"/>
  </r>
  <r>
    <x v="1722"/>
    <x v="1"/>
    <x v="1"/>
    <n v="44"/>
    <x v="1155"/>
    <x v="63"/>
    <d v="2025-03-08T00:00:00"/>
    <x v="2"/>
    <x v="1"/>
    <x v="2"/>
    <x v="0"/>
    <x v="8"/>
    <x v="2"/>
    <x v="9"/>
    <x v="2"/>
  </r>
  <r>
    <x v="1723"/>
    <x v="0"/>
    <x v="0"/>
    <n v="21.9"/>
    <x v="731"/>
    <x v="63"/>
    <d v="2025-03-06T00:00:00"/>
    <x v="1"/>
    <x v="0"/>
    <x v="0"/>
    <x v="0"/>
    <x v="8"/>
    <x v="3"/>
    <x v="9"/>
    <x v="1"/>
  </r>
  <r>
    <x v="1724"/>
    <x v="4"/>
    <x v="3"/>
    <n v="21.5"/>
    <x v="379"/>
    <x v="63"/>
    <d v="2025-03-07T00:00:00"/>
    <x v="2"/>
    <x v="1"/>
    <x v="2"/>
    <x v="0"/>
    <x v="9"/>
    <x v="1"/>
    <x v="9"/>
    <x v="2"/>
  </r>
  <r>
    <x v="1725"/>
    <x v="12"/>
    <x v="13"/>
    <n v="133"/>
    <x v="1369"/>
    <x v="63"/>
    <d v="2025-03-06T00:00:00"/>
    <x v="3"/>
    <x v="0"/>
    <x v="2"/>
    <x v="0"/>
    <x v="10"/>
    <x v="3"/>
    <x v="9"/>
    <x v="3"/>
  </r>
  <r>
    <x v="1726"/>
    <x v="8"/>
    <x v="1"/>
    <n v="47.7"/>
    <x v="233"/>
    <x v="63"/>
    <d v="2025-03-09T00:00:00"/>
    <x v="1"/>
    <x v="0"/>
    <x v="2"/>
    <x v="0"/>
    <x v="10"/>
    <x v="5"/>
    <x v="9"/>
    <x v="1"/>
  </r>
  <r>
    <x v="1727"/>
    <x v="16"/>
    <x v="2"/>
    <n v="58.1"/>
    <x v="889"/>
    <x v="63"/>
    <d v="2025-03-06T00:00:00"/>
    <x v="2"/>
    <x v="0"/>
    <x v="0"/>
    <x v="0"/>
    <x v="11"/>
    <x v="3"/>
    <x v="9"/>
    <x v="2"/>
  </r>
  <r>
    <x v="1728"/>
    <x v="12"/>
    <x v="12"/>
    <n v="66.599999999999994"/>
    <x v="1370"/>
    <x v="63"/>
    <d v="2025-03-06T00:00:00"/>
    <x v="0"/>
    <x v="0"/>
    <x v="0"/>
    <x v="0"/>
    <x v="11"/>
    <x v="3"/>
    <x v="9"/>
    <x v="0"/>
  </r>
  <r>
    <x v="1729"/>
    <x v="9"/>
    <x v="0"/>
    <n v="24.1"/>
    <x v="1057"/>
    <x v="63"/>
    <d v="2025-03-08T00:00:00"/>
    <x v="1"/>
    <x v="2"/>
    <x v="1"/>
    <x v="0"/>
    <x v="19"/>
    <x v="2"/>
    <x v="9"/>
    <x v="1"/>
  </r>
  <r>
    <x v="1730"/>
    <x v="10"/>
    <x v="9"/>
    <n v="51.5"/>
    <x v="1371"/>
    <x v="63"/>
    <d v="2025-03-10T00:00:00"/>
    <x v="2"/>
    <x v="0"/>
    <x v="0"/>
    <x v="0"/>
    <x v="13"/>
    <x v="0"/>
    <x v="9"/>
    <x v="2"/>
  </r>
  <r>
    <x v="1731"/>
    <x v="0"/>
    <x v="5"/>
    <n v="25.8"/>
    <x v="674"/>
    <x v="63"/>
    <d v="2025-03-09T00:00:00"/>
    <x v="2"/>
    <x v="3"/>
    <x v="4"/>
    <x v="0"/>
    <x v="21"/>
    <x v="5"/>
    <x v="9"/>
    <x v="2"/>
  </r>
  <r>
    <x v="1732"/>
    <x v="9"/>
    <x v="12"/>
    <n v="47.7"/>
    <x v="1372"/>
    <x v="63"/>
    <d v="2025-03-05T00:00:00"/>
    <x v="2"/>
    <x v="0"/>
    <x v="1"/>
    <x v="0"/>
    <x v="21"/>
    <x v="7"/>
    <x v="9"/>
    <x v="2"/>
  </r>
  <r>
    <x v="1733"/>
    <x v="7"/>
    <x v="9"/>
    <n v="73.599999999999994"/>
    <x v="1373"/>
    <x v="63"/>
    <d v="2025-03-09T00:00:00"/>
    <x v="1"/>
    <x v="1"/>
    <x v="0"/>
    <x v="0"/>
    <x v="21"/>
    <x v="5"/>
    <x v="9"/>
    <x v="1"/>
  </r>
  <r>
    <x v="1734"/>
    <x v="5"/>
    <x v="3"/>
    <n v="91.2"/>
    <x v="1374"/>
    <x v="63"/>
    <d v="2025-03-06T00:00:00"/>
    <x v="1"/>
    <x v="1"/>
    <x v="2"/>
    <x v="0"/>
    <x v="21"/>
    <x v="3"/>
    <x v="9"/>
    <x v="1"/>
  </r>
  <r>
    <x v="1735"/>
    <x v="1"/>
    <x v="8"/>
    <n v="36.200000000000003"/>
    <x v="1375"/>
    <x v="63"/>
    <d v="2025-03-05T00:00:00"/>
    <x v="1"/>
    <x v="2"/>
    <x v="2"/>
    <x v="0"/>
    <x v="1"/>
    <x v="7"/>
    <x v="9"/>
    <x v="1"/>
  </r>
  <r>
    <x v="1736"/>
    <x v="9"/>
    <x v="8"/>
    <n v="98"/>
    <x v="1376"/>
    <x v="63"/>
    <d v="2025-03-09T00:00:00"/>
    <x v="2"/>
    <x v="2"/>
    <x v="0"/>
    <x v="0"/>
    <x v="2"/>
    <x v="5"/>
    <x v="9"/>
    <x v="2"/>
  </r>
  <r>
    <x v="1737"/>
    <x v="1"/>
    <x v="8"/>
    <n v="43.6"/>
    <x v="1377"/>
    <x v="63"/>
    <d v="2025-03-06T00:00:00"/>
    <x v="2"/>
    <x v="2"/>
    <x v="0"/>
    <x v="0"/>
    <x v="22"/>
    <x v="3"/>
    <x v="9"/>
    <x v="2"/>
  </r>
  <r>
    <x v="1738"/>
    <x v="8"/>
    <x v="7"/>
    <n v="37.799999999999997"/>
    <x v="1378"/>
    <x v="63"/>
    <d v="2025-03-05T00:00:00"/>
    <x v="3"/>
    <x v="0"/>
    <x v="0"/>
    <x v="0"/>
    <x v="50"/>
    <x v="7"/>
    <x v="9"/>
    <x v="3"/>
  </r>
  <r>
    <x v="1739"/>
    <x v="17"/>
    <x v="9"/>
    <n v="63.7"/>
    <x v="46"/>
    <x v="63"/>
    <d v="2025-03-08T00:00:00"/>
    <x v="2"/>
    <x v="2"/>
    <x v="1"/>
    <x v="0"/>
    <x v="3"/>
    <x v="2"/>
    <x v="9"/>
    <x v="2"/>
  </r>
  <r>
    <x v="1740"/>
    <x v="5"/>
    <x v="11"/>
    <n v="62.9"/>
    <x v="1379"/>
    <x v="63"/>
    <d v="2025-03-10T00:00:00"/>
    <x v="1"/>
    <x v="3"/>
    <x v="2"/>
    <x v="0"/>
    <x v="3"/>
    <x v="0"/>
    <x v="9"/>
    <x v="1"/>
  </r>
  <r>
    <x v="1741"/>
    <x v="6"/>
    <x v="3"/>
    <n v="61.7"/>
    <x v="245"/>
    <x v="63"/>
    <d v="2025-03-08T00:00:00"/>
    <x v="2"/>
    <x v="2"/>
    <x v="2"/>
    <x v="0"/>
    <x v="3"/>
    <x v="2"/>
    <x v="9"/>
    <x v="2"/>
  </r>
  <r>
    <x v="1742"/>
    <x v="18"/>
    <x v="21"/>
    <n v="36.5"/>
    <x v="1380"/>
    <x v="63"/>
    <d v="2025-03-06T00:00:00"/>
    <x v="1"/>
    <x v="0"/>
    <x v="2"/>
    <x v="0"/>
    <x v="3"/>
    <x v="3"/>
    <x v="9"/>
    <x v="1"/>
  </r>
  <r>
    <x v="1743"/>
    <x v="11"/>
    <x v="2"/>
    <n v="98.6"/>
    <x v="1381"/>
    <x v="63"/>
    <d v="2025-03-08T00:00:00"/>
    <x v="3"/>
    <x v="0"/>
    <x v="4"/>
    <x v="0"/>
    <x v="3"/>
    <x v="2"/>
    <x v="9"/>
    <x v="3"/>
  </r>
  <r>
    <x v="1744"/>
    <x v="8"/>
    <x v="1"/>
    <n v="19.2"/>
    <x v="1139"/>
    <x v="63"/>
    <d v="2025-03-15T00:00:00"/>
    <x v="1"/>
    <x v="0"/>
    <x v="0"/>
    <x v="0"/>
    <x v="3"/>
    <x v="14"/>
    <x v="9"/>
    <x v="1"/>
  </r>
  <r>
    <x v="1745"/>
    <x v="3"/>
    <x v="13"/>
    <n v="55.6"/>
    <x v="335"/>
    <x v="63"/>
    <d v="2025-03-09T00:00:00"/>
    <x v="2"/>
    <x v="0"/>
    <x v="2"/>
    <x v="0"/>
    <x v="3"/>
    <x v="5"/>
    <x v="9"/>
    <x v="2"/>
  </r>
  <r>
    <x v="1746"/>
    <x v="5"/>
    <x v="13"/>
    <n v="56.4"/>
    <x v="1382"/>
    <x v="63"/>
    <d v="2025-03-06T00:00:00"/>
    <x v="2"/>
    <x v="1"/>
    <x v="0"/>
    <x v="0"/>
    <x v="3"/>
    <x v="3"/>
    <x v="9"/>
    <x v="2"/>
  </r>
  <r>
    <x v="1747"/>
    <x v="4"/>
    <x v="8"/>
    <n v="43.1"/>
    <x v="1383"/>
    <x v="63"/>
    <d v="2025-03-09T00:00:00"/>
    <x v="2"/>
    <x v="4"/>
    <x v="0"/>
    <x v="0"/>
    <x v="3"/>
    <x v="5"/>
    <x v="9"/>
    <x v="2"/>
  </r>
  <r>
    <x v="1748"/>
    <x v="1"/>
    <x v="1"/>
    <n v="77.3"/>
    <x v="1384"/>
    <x v="63"/>
    <d v="2025-03-07T00:00:00"/>
    <x v="1"/>
    <x v="0"/>
    <x v="0"/>
    <x v="0"/>
    <x v="6"/>
    <x v="1"/>
    <x v="9"/>
    <x v="1"/>
  </r>
  <r>
    <x v="1749"/>
    <x v="9"/>
    <x v="8"/>
    <n v="38.299999999999997"/>
    <x v="1347"/>
    <x v="63"/>
    <d v="2025-03-06T00:00:00"/>
    <x v="1"/>
    <x v="0"/>
    <x v="0"/>
    <x v="0"/>
    <x v="7"/>
    <x v="3"/>
    <x v="9"/>
    <x v="1"/>
  </r>
  <r>
    <x v="1750"/>
    <x v="0"/>
    <x v="3"/>
    <n v="16.8"/>
    <x v="557"/>
    <x v="63"/>
    <d v="2025-03-08T00:00:00"/>
    <x v="1"/>
    <x v="2"/>
    <x v="1"/>
    <x v="0"/>
    <x v="8"/>
    <x v="2"/>
    <x v="9"/>
    <x v="1"/>
  </r>
  <r>
    <x v="1751"/>
    <x v="2"/>
    <x v="2"/>
    <n v="63.2"/>
    <x v="1385"/>
    <x v="63"/>
    <d v="2025-03-06T00:00:00"/>
    <x v="2"/>
    <x v="0"/>
    <x v="2"/>
    <x v="0"/>
    <x v="8"/>
    <x v="3"/>
    <x v="9"/>
    <x v="2"/>
  </r>
  <r>
    <x v="1752"/>
    <x v="14"/>
    <x v="44"/>
    <n v="39.700000000000003"/>
    <x v="1386"/>
    <x v="63"/>
    <d v="2025-03-06T00:00:00"/>
    <x v="1"/>
    <x v="0"/>
    <x v="0"/>
    <x v="0"/>
    <x v="8"/>
    <x v="3"/>
    <x v="9"/>
    <x v="1"/>
  </r>
  <r>
    <x v="1753"/>
    <x v="10"/>
    <x v="2"/>
    <n v="45.8"/>
    <x v="1387"/>
    <x v="63"/>
    <d v="2025-03-06T00:00:00"/>
    <x v="2"/>
    <x v="1"/>
    <x v="2"/>
    <x v="0"/>
    <x v="8"/>
    <x v="3"/>
    <x v="9"/>
    <x v="2"/>
  </r>
  <r>
    <x v="1754"/>
    <x v="0"/>
    <x v="13"/>
    <n v="12.4"/>
    <x v="610"/>
    <x v="63"/>
    <d v="2025-03-08T00:00:00"/>
    <x v="1"/>
    <x v="0"/>
    <x v="0"/>
    <x v="0"/>
    <x v="8"/>
    <x v="2"/>
    <x v="9"/>
    <x v="1"/>
  </r>
  <r>
    <x v="1755"/>
    <x v="14"/>
    <x v="2"/>
    <n v="50.8"/>
    <x v="1388"/>
    <x v="64"/>
    <d v="2025-03-06T00:00:00"/>
    <x v="2"/>
    <x v="4"/>
    <x v="0"/>
    <x v="0"/>
    <x v="17"/>
    <x v="7"/>
    <x v="9"/>
    <x v="2"/>
  </r>
  <r>
    <x v="1756"/>
    <x v="9"/>
    <x v="0"/>
    <n v="76"/>
    <x v="998"/>
    <x v="64"/>
    <d v="2025-03-10T00:00:00"/>
    <x v="3"/>
    <x v="2"/>
    <x v="2"/>
    <x v="0"/>
    <x v="17"/>
    <x v="5"/>
    <x v="9"/>
    <x v="3"/>
  </r>
  <r>
    <x v="1757"/>
    <x v="1"/>
    <x v="1"/>
    <n v="51.9"/>
    <x v="1389"/>
    <x v="64"/>
    <d v="2025-03-07T00:00:00"/>
    <x v="1"/>
    <x v="1"/>
    <x v="2"/>
    <x v="0"/>
    <x v="26"/>
    <x v="3"/>
    <x v="9"/>
    <x v="1"/>
  </r>
  <r>
    <x v="1758"/>
    <x v="2"/>
    <x v="1"/>
    <n v="93.4"/>
    <x v="1390"/>
    <x v="64"/>
    <d v="2025-03-13T00:00:00"/>
    <x v="1"/>
    <x v="0"/>
    <x v="3"/>
    <x v="0"/>
    <x v="11"/>
    <x v="6"/>
    <x v="9"/>
    <x v="1"/>
  </r>
  <r>
    <x v="1759"/>
    <x v="7"/>
    <x v="13"/>
    <n v="30.8"/>
    <x v="827"/>
    <x v="64"/>
    <d v="2025-03-09T00:00:00"/>
    <x v="2"/>
    <x v="1"/>
    <x v="0"/>
    <x v="0"/>
    <x v="11"/>
    <x v="2"/>
    <x v="9"/>
    <x v="2"/>
  </r>
  <r>
    <x v="1760"/>
    <x v="2"/>
    <x v="0"/>
    <n v="143.19999999999999"/>
    <x v="1391"/>
    <x v="64"/>
    <d v="2025-03-09T00:00:00"/>
    <x v="1"/>
    <x v="2"/>
    <x v="0"/>
    <x v="0"/>
    <x v="11"/>
    <x v="2"/>
    <x v="9"/>
    <x v="1"/>
  </r>
  <r>
    <x v="1761"/>
    <x v="6"/>
    <x v="5"/>
    <n v="40.4"/>
    <x v="1392"/>
    <x v="64"/>
    <d v="2025-03-08T00:00:00"/>
    <x v="1"/>
    <x v="2"/>
    <x v="2"/>
    <x v="0"/>
    <x v="18"/>
    <x v="1"/>
    <x v="9"/>
    <x v="1"/>
  </r>
  <r>
    <x v="1762"/>
    <x v="2"/>
    <x v="10"/>
    <n v="131.5"/>
    <x v="1393"/>
    <x v="64"/>
    <d v="2025-03-08T00:00:00"/>
    <x v="1"/>
    <x v="1"/>
    <x v="1"/>
    <x v="0"/>
    <x v="18"/>
    <x v="1"/>
    <x v="9"/>
    <x v="1"/>
  </r>
  <r>
    <x v="1763"/>
    <x v="18"/>
    <x v="3"/>
    <n v="61.6"/>
    <x v="348"/>
    <x v="64"/>
    <d v="2025-03-07T00:00:00"/>
    <x v="1"/>
    <x v="2"/>
    <x v="0"/>
    <x v="0"/>
    <x v="21"/>
    <x v="3"/>
    <x v="9"/>
    <x v="1"/>
  </r>
  <r>
    <x v="1764"/>
    <x v="9"/>
    <x v="9"/>
    <n v="32.700000000000003"/>
    <x v="838"/>
    <x v="64"/>
    <d v="2025-03-08T00:00:00"/>
    <x v="1"/>
    <x v="2"/>
    <x v="0"/>
    <x v="0"/>
    <x v="1"/>
    <x v="1"/>
    <x v="9"/>
    <x v="1"/>
  </r>
  <r>
    <x v="1765"/>
    <x v="0"/>
    <x v="7"/>
    <n v="13.7"/>
    <x v="383"/>
    <x v="64"/>
    <d v="2025-03-07T00:00:00"/>
    <x v="1"/>
    <x v="0"/>
    <x v="2"/>
    <x v="0"/>
    <x v="3"/>
    <x v="3"/>
    <x v="9"/>
    <x v="1"/>
  </r>
  <r>
    <x v="1766"/>
    <x v="0"/>
    <x v="12"/>
    <n v="32.1"/>
    <x v="58"/>
    <x v="64"/>
    <d v="2025-03-07T00:00:00"/>
    <x v="1"/>
    <x v="4"/>
    <x v="1"/>
    <x v="0"/>
    <x v="3"/>
    <x v="3"/>
    <x v="9"/>
    <x v="1"/>
  </r>
  <r>
    <x v="1767"/>
    <x v="14"/>
    <x v="8"/>
    <n v="12"/>
    <x v="854"/>
    <x v="64"/>
    <d v="2025-03-07T00:00:00"/>
    <x v="1"/>
    <x v="1"/>
    <x v="0"/>
    <x v="0"/>
    <x v="24"/>
    <x v="3"/>
    <x v="9"/>
    <x v="1"/>
  </r>
  <r>
    <x v="1768"/>
    <x v="12"/>
    <x v="0"/>
    <n v="64.3"/>
    <x v="1394"/>
    <x v="64"/>
    <d v="2025-03-08T00:00:00"/>
    <x v="2"/>
    <x v="2"/>
    <x v="2"/>
    <x v="0"/>
    <x v="6"/>
    <x v="1"/>
    <x v="9"/>
    <x v="2"/>
  </r>
  <r>
    <x v="1769"/>
    <x v="1"/>
    <x v="2"/>
    <n v="58.2"/>
    <x v="1395"/>
    <x v="64"/>
    <d v="2025-03-08T00:00:00"/>
    <x v="2"/>
    <x v="1"/>
    <x v="2"/>
    <x v="0"/>
    <x v="6"/>
    <x v="1"/>
    <x v="9"/>
    <x v="2"/>
  </r>
  <r>
    <x v="1770"/>
    <x v="6"/>
    <x v="12"/>
    <n v="59.2"/>
    <x v="1396"/>
    <x v="64"/>
    <d v="2025-03-06T00:00:00"/>
    <x v="1"/>
    <x v="1"/>
    <x v="2"/>
    <x v="0"/>
    <x v="6"/>
    <x v="7"/>
    <x v="9"/>
    <x v="1"/>
  </r>
  <r>
    <x v="1771"/>
    <x v="10"/>
    <x v="5"/>
    <n v="35.6"/>
    <x v="590"/>
    <x v="64"/>
    <d v="2025-03-13T00:00:00"/>
    <x v="1"/>
    <x v="0"/>
    <x v="2"/>
    <x v="0"/>
    <x v="8"/>
    <x v="6"/>
    <x v="9"/>
    <x v="1"/>
  </r>
  <r>
    <x v="1772"/>
    <x v="16"/>
    <x v="8"/>
    <n v="37"/>
    <x v="1397"/>
    <x v="64"/>
    <d v="2025-03-10T00:00:00"/>
    <x v="2"/>
    <x v="2"/>
    <x v="1"/>
    <x v="0"/>
    <x v="8"/>
    <x v="5"/>
    <x v="9"/>
    <x v="2"/>
  </r>
  <r>
    <x v="1773"/>
    <x v="1"/>
    <x v="15"/>
    <n v="80.8"/>
    <x v="1398"/>
    <x v="64"/>
    <d v="2025-03-08T00:00:00"/>
    <x v="2"/>
    <x v="0"/>
    <x v="0"/>
    <x v="0"/>
    <x v="8"/>
    <x v="1"/>
    <x v="9"/>
    <x v="2"/>
  </r>
  <r>
    <x v="1774"/>
    <x v="8"/>
    <x v="1"/>
    <n v="63.2"/>
    <x v="628"/>
    <x v="64"/>
    <d v="2025-03-07T00:00:00"/>
    <x v="1"/>
    <x v="0"/>
    <x v="1"/>
    <x v="0"/>
    <x v="8"/>
    <x v="3"/>
    <x v="9"/>
    <x v="1"/>
  </r>
  <r>
    <x v="1775"/>
    <x v="3"/>
    <x v="1"/>
    <n v="40.799999999999997"/>
    <x v="330"/>
    <x v="64"/>
    <d v="2025-03-08T00:00:00"/>
    <x v="1"/>
    <x v="0"/>
    <x v="1"/>
    <x v="0"/>
    <x v="17"/>
    <x v="1"/>
    <x v="9"/>
    <x v="1"/>
  </r>
  <r>
    <x v="1776"/>
    <x v="13"/>
    <x v="13"/>
    <n v="25.7"/>
    <x v="1399"/>
    <x v="64"/>
    <d v="2025-03-08T00:00:00"/>
    <x v="1"/>
    <x v="4"/>
    <x v="0"/>
    <x v="0"/>
    <x v="18"/>
    <x v="1"/>
    <x v="9"/>
    <x v="1"/>
  </r>
  <r>
    <x v="1777"/>
    <x v="16"/>
    <x v="1"/>
    <n v="49.9"/>
    <x v="350"/>
    <x v="64"/>
    <d v="2025-03-09T00:00:00"/>
    <x v="1"/>
    <x v="0"/>
    <x v="0"/>
    <x v="0"/>
    <x v="20"/>
    <x v="2"/>
    <x v="9"/>
    <x v="1"/>
  </r>
  <r>
    <x v="1778"/>
    <x v="8"/>
    <x v="1"/>
    <n v="20.2"/>
    <x v="1400"/>
    <x v="64"/>
    <d v="2025-03-08T00:00:00"/>
    <x v="2"/>
    <x v="3"/>
    <x v="0"/>
    <x v="0"/>
    <x v="21"/>
    <x v="1"/>
    <x v="9"/>
    <x v="2"/>
  </r>
  <r>
    <x v="1779"/>
    <x v="6"/>
    <x v="2"/>
    <n v="48.4"/>
    <x v="1401"/>
    <x v="64"/>
    <d v="2025-03-11T00:00:00"/>
    <x v="2"/>
    <x v="0"/>
    <x v="2"/>
    <x v="0"/>
    <x v="21"/>
    <x v="0"/>
    <x v="9"/>
    <x v="2"/>
  </r>
  <r>
    <x v="1780"/>
    <x v="6"/>
    <x v="1"/>
    <n v="81"/>
    <x v="915"/>
    <x v="64"/>
    <d v="2025-03-07T00:00:00"/>
    <x v="2"/>
    <x v="1"/>
    <x v="2"/>
    <x v="0"/>
    <x v="21"/>
    <x v="3"/>
    <x v="9"/>
    <x v="2"/>
  </r>
  <r>
    <x v="1781"/>
    <x v="8"/>
    <x v="13"/>
    <n v="19.899999999999999"/>
    <x v="1402"/>
    <x v="64"/>
    <d v="2025-03-09T00:00:00"/>
    <x v="2"/>
    <x v="0"/>
    <x v="1"/>
    <x v="0"/>
    <x v="22"/>
    <x v="2"/>
    <x v="9"/>
    <x v="2"/>
  </r>
  <r>
    <x v="1782"/>
    <x v="4"/>
    <x v="12"/>
    <n v="32.200000000000003"/>
    <x v="1403"/>
    <x v="64"/>
    <d v="2025-03-16T00:00:00"/>
    <x v="1"/>
    <x v="0"/>
    <x v="0"/>
    <x v="0"/>
    <x v="22"/>
    <x v="14"/>
    <x v="9"/>
    <x v="1"/>
  </r>
  <r>
    <x v="1783"/>
    <x v="5"/>
    <x v="2"/>
    <n v="76.8"/>
    <x v="1404"/>
    <x v="64"/>
    <d v="2025-03-07T00:00:00"/>
    <x v="2"/>
    <x v="0"/>
    <x v="1"/>
    <x v="0"/>
    <x v="3"/>
    <x v="3"/>
    <x v="9"/>
    <x v="2"/>
  </r>
  <r>
    <x v="1784"/>
    <x v="6"/>
    <x v="1"/>
    <n v="41.9"/>
    <x v="1405"/>
    <x v="64"/>
    <d v="2025-03-08T00:00:00"/>
    <x v="2"/>
    <x v="0"/>
    <x v="0"/>
    <x v="0"/>
    <x v="3"/>
    <x v="1"/>
    <x v="9"/>
    <x v="2"/>
  </r>
  <r>
    <x v="1785"/>
    <x v="0"/>
    <x v="3"/>
    <n v="34"/>
    <x v="1248"/>
    <x v="64"/>
    <d v="2025-03-08T00:00:00"/>
    <x v="2"/>
    <x v="1"/>
    <x v="2"/>
    <x v="0"/>
    <x v="3"/>
    <x v="1"/>
    <x v="9"/>
    <x v="2"/>
  </r>
  <r>
    <x v="1786"/>
    <x v="7"/>
    <x v="3"/>
    <n v="61.3"/>
    <x v="1406"/>
    <x v="64"/>
    <d v="2025-03-06T00:00:00"/>
    <x v="2"/>
    <x v="4"/>
    <x v="2"/>
    <x v="0"/>
    <x v="3"/>
    <x v="7"/>
    <x v="9"/>
    <x v="2"/>
  </r>
  <r>
    <x v="1787"/>
    <x v="9"/>
    <x v="0"/>
    <n v="54.7"/>
    <x v="1407"/>
    <x v="65"/>
    <d v="2025-03-08T00:00:00"/>
    <x v="1"/>
    <x v="0"/>
    <x v="1"/>
    <x v="0"/>
    <x v="3"/>
    <x v="3"/>
    <x v="9"/>
    <x v="1"/>
  </r>
  <r>
    <x v="1788"/>
    <x v="6"/>
    <x v="7"/>
    <n v="84.7"/>
    <x v="1408"/>
    <x v="65"/>
    <d v="2025-03-11T00:00:00"/>
    <x v="2"/>
    <x v="0"/>
    <x v="0"/>
    <x v="0"/>
    <x v="3"/>
    <x v="5"/>
    <x v="9"/>
    <x v="2"/>
  </r>
  <r>
    <x v="1789"/>
    <x v="1"/>
    <x v="2"/>
    <n v="93.4"/>
    <x v="1409"/>
    <x v="65"/>
    <d v="2025-03-11T00:00:00"/>
    <x v="2"/>
    <x v="3"/>
    <x v="0"/>
    <x v="0"/>
    <x v="3"/>
    <x v="5"/>
    <x v="9"/>
    <x v="2"/>
  </r>
  <r>
    <x v="1790"/>
    <x v="8"/>
    <x v="9"/>
    <n v="27"/>
    <x v="340"/>
    <x v="65"/>
    <d v="2025-03-10T00:00:00"/>
    <x v="1"/>
    <x v="0"/>
    <x v="1"/>
    <x v="0"/>
    <x v="3"/>
    <x v="2"/>
    <x v="9"/>
    <x v="1"/>
  </r>
  <r>
    <x v="1791"/>
    <x v="0"/>
    <x v="12"/>
    <n v="10.9"/>
    <x v="1195"/>
    <x v="65"/>
    <d v="2025-03-08T00:00:00"/>
    <x v="1"/>
    <x v="2"/>
    <x v="0"/>
    <x v="0"/>
    <x v="3"/>
    <x v="3"/>
    <x v="9"/>
    <x v="1"/>
  </r>
  <r>
    <x v="1792"/>
    <x v="16"/>
    <x v="2"/>
    <n v="48"/>
    <x v="1410"/>
    <x v="65"/>
    <d v="2025-03-12T00:00:00"/>
    <x v="2"/>
    <x v="4"/>
    <x v="0"/>
    <x v="0"/>
    <x v="3"/>
    <x v="0"/>
    <x v="9"/>
    <x v="2"/>
  </r>
  <r>
    <x v="1793"/>
    <x v="5"/>
    <x v="1"/>
    <n v="67.900000000000006"/>
    <x v="1411"/>
    <x v="65"/>
    <d v="2025-03-08T00:00:00"/>
    <x v="1"/>
    <x v="0"/>
    <x v="2"/>
    <x v="0"/>
    <x v="23"/>
    <x v="3"/>
    <x v="9"/>
    <x v="1"/>
  </r>
  <r>
    <x v="1794"/>
    <x v="4"/>
    <x v="2"/>
    <n v="36"/>
    <x v="807"/>
    <x v="65"/>
    <d v="2025-03-08T00:00:00"/>
    <x v="1"/>
    <x v="1"/>
    <x v="0"/>
    <x v="0"/>
    <x v="6"/>
    <x v="3"/>
    <x v="9"/>
    <x v="1"/>
  </r>
  <r>
    <x v="1795"/>
    <x v="2"/>
    <x v="0"/>
    <n v="128.80000000000001"/>
    <x v="1403"/>
    <x v="65"/>
    <d v="2025-03-08T00:00:00"/>
    <x v="1"/>
    <x v="4"/>
    <x v="2"/>
    <x v="0"/>
    <x v="6"/>
    <x v="3"/>
    <x v="9"/>
    <x v="1"/>
  </r>
  <r>
    <x v="1796"/>
    <x v="18"/>
    <x v="3"/>
    <n v="33.299999999999997"/>
    <x v="1412"/>
    <x v="65"/>
    <d v="2025-03-08T00:00:00"/>
    <x v="2"/>
    <x v="3"/>
    <x v="0"/>
    <x v="0"/>
    <x v="8"/>
    <x v="3"/>
    <x v="9"/>
    <x v="2"/>
  </r>
  <r>
    <x v="1797"/>
    <x v="10"/>
    <x v="2"/>
    <n v="37.799999999999997"/>
    <x v="1413"/>
    <x v="65"/>
    <d v="2025-03-09T00:00:00"/>
    <x v="1"/>
    <x v="1"/>
    <x v="2"/>
    <x v="0"/>
    <x v="8"/>
    <x v="1"/>
    <x v="9"/>
    <x v="1"/>
  </r>
  <r>
    <x v="1798"/>
    <x v="5"/>
    <x v="2"/>
    <n v="26"/>
    <x v="292"/>
    <x v="65"/>
    <d v="2025-03-12T00:00:00"/>
    <x v="2"/>
    <x v="0"/>
    <x v="0"/>
    <x v="0"/>
    <x v="8"/>
    <x v="0"/>
    <x v="9"/>
    <x v="2"/>
  </r>
  <r>
    <x v="1799"/>
    <x v="8"/>
    <x v="10"/>
    <n v="28.3"/>
    <x v="1414"/>
    <x v="65"/>
    <d v="2025-03-08T00:00:00"/>
    <x v="2"/>
    <x v="3"/>
    <x v="4"/>
    <x v="0"/>
    <x v="8"/>
    <x v="3"/>
    <x v="9"/>
    <x v="2"/>
  </r>
  <r>
    <x v="1800"/>
    <x v="8"/>
    <x v="12"/>
    <n v="31.3"/>
    <x v="1415"/>
    <x v="65"/>
    <d v="2025-03-07T00:00:00"/>
    <x v="2"/>
    <x v="0"/>
    <x v="0"/>
    <x v="0"/>
    <x v="8"/>
    <x v="7"/>
    <x v="9"/>
    <x v="2"/>
  </r>
  <r>
    <x v="1801"/>
    <x v="7"/>
    <x v="2"/>
    <n v="69.5"/>
    <x v="1416"/>
    <x v="65"/>
    <d v="2025-03-08T00:00:00"/>
    <x v="2"/>
    <x v="3"/>
    <x v="2"/>
    <x v="0"/>
    <x v="8"/>
    <x v="3"/>
    <x v="9"/>
    <x v="2"/>
  </r>
  <r>
    <x v="1802"/>
    <x v="0"/>
    <x v="1"/>
    <n v="16.7"/>
    <x v="1417"/>
    <x v="65"/>
    <d v="2025-03-08T00:00:00"/>
    <x v="2"/>
    <x v="3"/>
    <x v="1"/>
    <x v="0"/>
    <x v="8"/>
    <x v="3"/>
    <x v="9"/>
    <x v="2"/>
  </r>
  <r>
    <x v="1803"/>
    <x v="9"/>
    <x v="1"/>
    <n v="62.6"/>
    <x v="1415"/>
    <x v="65"/>
    <d v="2025-03-08T00:00:00"/>
    <x v="1"/>
    <x v="2"/>
    <x v="2"/>
    <x v="0"/>
    <x v="9"/>
    <x v="3"/>
    <x v="9"/>
    <x v="1"/>
  </r>
  <r>
    <x v="1804"/>
    <x v="7"/>
    <x v="0"/>
    <n v="81.2"/>
    <x v="1101"/>
    <x v="65"/>
    <d v="2025-03-13T00:00:00"/>
    <x v="1"/>
    <x v="4"/>
    <x v="4"/>
    <x v="0"/>
    <x v="9"/>
    <x v="4"/>
    <x v="9"/>
    <x v="1"/>
  </r>
  <r>
    <x v="1805"/>
    <x v="0"/>
    <x v="7"/>
    <n v="12.7"/>
    <x v="520"/>
    <x v="65"/>
    <d v="2025-03-08T00:00:00"/>
    <x v="2"/>
    <x v="0"/>
    <x v="2"/>
    <x v="0"/>
    <x v="9"/>
    <x v="3"/>
    <x v="9"/>
    <x v="2"/>
  </r>
  <r>
    <x v="1806"/>
    <x v="7"/>
    <x v="12"/>
    <n v="77.7"/>
    <x v="1418"/>
    <x v="66"/>
    <d v="2025-03-12T00:00:00"/>
    <x v="1"/>
    <x v="1"/>
    <x v="0"/>
    <x v="0"/>
    <x v="11"/>
    <x v="5"/>
    <x v="9"/>
    <x v="1"/>
  </r>
  <r>
    <x v="1807"/>
    <x v="5"/>
    <x v="1"/>
    <n v="37.299999999999997"/>
    <x v="110"/>
    <x v="66"/>
    <d v="2025-03-09T00:00:00"/>
    <x v="2"/>
    <x v="0"/>
    <x v="2"/>
    <x v="0"/>
    <x v="18"/>
    <x v="3"/>
    <x v="9"/>
    <x v="2"/>
  </r>
  <r>
    <x v="1808"/>
    <x v="10"/>
    <x v="12"/>
    <n v="35.6"/>
    <x v="1419"/>
    <x v="66"/>
    <d v="2025-03-10T00:00:00"/>
    <x v="2"/>
    <x v="1"/>
    <x v="1"/>
    <x v="0"/>
    <x v="19"/>
    <x v="1"/>
    <x v="9"/>
    <x v="2"/>
  </r>
  <r>
    <x v="1809"/>
    <x v="2"/>
    <x v="2"/>
    <n v="95"/>
    <x v="1420"/>
    <x v="66"/>
    <d v="2025-03-12T00:00:00"/>
    <x v="2"/>
    <x v="2"/>
    <x v="2"/>
    <x v="0"/>
    <x v="56"/>
    <x v="5"/>
    <x v="9"/>
    <x v="2"/>
  </r>
  <r>
    <x v="1810"/>
    <x v="2"/>
    <x v="12"/>
    <n v="172.1"/>
    <x v="1421"/>
    <x v="66"/>
    <d v="2025-03-12T00:00:00"/>
    <x v="3"/>
    <x v="2"/>
    <x v="2"/>
    <x v="0"/>
    <x v="21"/>
    <x v="5"/>
    <x v="9"/>
    <x v="3"/>
  </r>
  <r>
    <x v="1811"/>
    <x v="2"/>
    <x v="1"/>
    <n v="233"/>
    <x v="1147"/>
    <x v="66"/>
    <d v="2025-03-11T00:00:00"/>
    <x v="2"/>
    <x v="1"/>
    <x v="0"/>
    <x v="0"/>
    <x v="21"/>
    <x v="2"/>
    <x v="9"/>
    <x v="2"/>
  </r>
  <r>
    <x v="1812"/>
    <x v="0"/>
    <x v="0"/>
    <n v="43.5"/>
    <x v="1422"/>
    <x v="66"/>
    <d v="2025-03-09T00:00:00"/>
    <x v="2"/>
    <x v="2"/>
    <x v="2"/>
    <x v="0"/>
    <x v="21"/>
    <x v="3"/>
    <x v="9"/>
    <x v="2"/>
  </r>
  <r>
    <x v="1813"/>
    <x v="9"/>
    <x v="1"/>
    <n v="47.8"/>
    <x v="139"/>
    <x v="66"/>
    <d v="2025-03-11T00:00:00"/>
    <x v="1"/>
    <x v="4"/>
    <x v="2"/>
    <x v="0"/>
    <x v="1"/>
    <x v="2"/>
    <x v="9"/>
    <x v="1"/>
  </r>
  <r>
    <x v="1814"/>
    <x v="12"/>
    <x v="1"/>
    <n v="65.8"/>
    <x v="1423"/>
    <x v="66"/>
    <d v="2025-03-10T00:00:00"/>
    <x v="2"/>
    <x v="0"/>
    <x v="3"/>
    <x v="0"/>
    <x v="33"/>
    <x v="1"/>
    <x v="9"/>
    <x v="2"/>
  </r>
  <r>
    <x v="1815"/>
    <x v="15"/>
    <x v="5"/>
    <n v="38.700000000000003"/>
    <x v="1424"/>
    <x v="66"/>
    <d v="2025-03-08T00:00:00"/>
    <x v="1"/>
    <x v="0"/>
    <x v="0"/>
    <x v="0"/>
    <x v="22"/>
    <x v="7"/>
    <x v="9"/>
    <x v="1"/>
  </r>
  <r>
    <x v="1816"/>
    <x v="3"/>
    <x v="12"/>
    <n v="55.7"/>
    <x v="839"/>
    <x v="66"/>
    <d v="2025-03-10T00:00:00"/>
    <x v="3"/>
    <x v="0"/>
    <x v="1"/>
    <x v="0"/>
    <x v="22"/>
    <x v="1"/>
    <x v="9"/>
    <x v="3"/>
  </r>
  <r>
    <x v="1817"/>
    <x v="7"/>
    <x v="1"/>
    <n v="102.4"/>
    <x v="403"/>
    <x v="66"/>
    <d v="2025-03-08T00:00:00"/>
    <x v="2"/>
    <x v="1"/>
    <x v="0"/>
    <x v="0"/>
    <x v="3"/>
    <x v="7"/>
    <x v="9"/>
    <x v="2"/>
  </r>
  <r>
    <x v="1818"/>
    <x v="1"/>
    <x v="0"/>
    <n v="92"/>
    <x v="988"/>
    <x v="66"/>
    <d v="2025-03-12T00:00:00"/>
    <x v="0"/>
    <x v="2"/>
    <x v="0"/>
    <x v="0"/>
    <x v="3"/>
    <x v="5"/>
    <x v="9"/>
    <x v="0"/>
  </r>
  <r>
    <x v="1819"/>
    <x v="6"/>
    <x v="12"/>
    <n v="75.900000000000006"/>
    <x v="80"/>
    <x v="66"/>
    <d v="2025-03-10T00:00:00"/>
    <x v="2"/>
    <x v="1"/>
    <x v="0"/>
    <x v="0"/>
    <x v="3"/>
    <x v="1"/>
    <x v="9"/>
    <x v="2"/>
  </r>
  <r>
    <x v="1820"/>
    <x v="1"/>
    <x v="12"/>
    <n v="36.200000000000003"/>
    <x v="353"/>
    <x v="66"/>
    <d v="2025-03-09T00:00:00"/>
    <x v="2"/>
    <x v="1"/>
    <x v="0"/>
    <x v="0"/>
    <x v="3"/>
    <x v="3"/>
    <x v="9"/>
    <x v="2"/>
  </r>
  <r>
    <x v="1821"/>
    <x v="6"/>
    <x v="45"/>
    <n v="83.5"/>
    <x v="1425"/>
    <x v="66"/>
    <d v="2025-03-10T00:00:00"/>
    <x v="0"/>
    <x v="3"/>
    <x v="0"/>
    <x v="0"/>
    <x v="3"/>
    <x v="1"/>
    <x v="9"/>
    <x v="0"/>
  </r>
  <r>
    <x v="1822"/>
    <x v="19"/>
    <x v="4"/>
    <n v="52.4"/>
    <x v="1092"/>
    <x v="66"/>
    <d v="2025-03-08T00:00:00"/>
    <x v="1"/>
    <x v="2"/>
    <x v="0"/>
    <x v="0"/>
    <x v="3"/>
    <x v="7"/>
    <x v="9"/>
    <x v="1"/>
  </r>
  <r>
    <x v="1823"/>
    <x v="12"/>
    <x v="2"/>
    <n v="69.5"/>
    <x v="1416"/>
    <x v="66"/>
    <d v="2025-03-09T00:00:00"/>
    <x v="3"/>
    <x v="4"/>
    <x v="0"/>
    <x v="0"/>
    <x v="3"/>
    <x v="3"/>
    <x v="9"/>
    <x v="3"/>
  </r>
  <r>
    <x v="1824"/>
    <x v="0"/>
    <x v="0"/>
    <n v="15.5"/>
    <x v="1426"/>
    <x v="66"/>
    <d v="2025-03-10T00:00:00"/>
    <x v="1"/>
    <x v="0"/>
    <x v="0"/>
    <x v="0"/>
    <x v="3"/>
    <x v="1"/>
    <x v="9"/>
    <x v="1"/>
  </r>
  <r>
    <x v="1825"/>
    <x v="4"/>
    <x v="12"/>
    <n v="35.200000000000003"/>
    <x v="1427"/>
    <x v="66"/>
    <d v="2025-03-09T00:00:00"/>
    <x v="2"/>
    <x v="2"/>
    <x v="2"/>
    <x v="0"/>
    <x v="3"/>
    <x v="3"/>
    <x v="9"/>
    <x v="2"/>
  </r>
  <r>
    <x v="1826"/>
    <x v="8"/>
    <x v="13"/>
    <n v="34.6"/>
    <x v="1428"/>
    <x v="66"/>
    <d v="2025-03-09T00:00:00"/>
    <x v="0"/>
    <x v="0"/>
    <x v="1"/>
    <x v="0"/>
    <x v="3"/>
    <x v="3"/>
    <x v="9"/>
    <x v="0"/>
  </r>
  <r>
    <x v="1827"/>
    <x v="4"/>
    <x v="0"/>
    <n v="21.3"/>
    <x v="1429"/>
    <x v="67"/>
    <d v="2025-03-10T00:00:00"/>
    <x v="1"/>
    <x v="2"/>
    <x v="1"/>
    <x v="0"/>
    <x v="3"/>
    <x v="3"/>
    <x v="10"/>
    <x v="1"/>
  </r>
  <r>
    <x v="1828"/>
    <x v="6"/>
    <x v="1"/>
    <n v="136.5"/>
    <x v="1430"/>
    <x v="67"/>
    <d v="2025-03-15T00:00:00"/>
    <x v="2"/>
    <x v="0"/>
    <x v="0"/>
    <x v="0"/>
    <x v="37"/>
    <x v="4"/>
    <x v="10"/>
    <x v="2"/>
  </r>
  <r>
    <x v="1829"/>
    <x v="9"/>
    <x v="3"/>
    <n v="30.7"/>
    <x v="1431"/>
    <x v="67"/>
    <d v="2025-03-10T00:00:00"/>
    <x v="1"/>
    <x v="2"/>
    <x v="2"/>
    <x v="0"/>
    <x v="25"/>
    <x v="3"/>
    <x v="10"/>
    <x v="1"/>
  </r>
  <r>
    <x v="1830"/>
    <x v="1"/>
    <x v="1"/>
    <n v="61.6"/>
    <x v="1432"/>
    <x v="67"/>
    <d v="2025-03-10T00:00:00"/>
    <x v="2"/>
    <x v="2"/>
    <x v="2"/>
    <x v="0"/>
    <x v="23"/>
    <x v="3"/>
    <x v="10"/>
    <x v="2"/>
  </r>
  <r>
    <x v="1831"/>
    <x v="6"/>
    <x v="12"/>
    <n v="54.3"/>
    <x v="1433"/>
    <x v="67"/>
    <d v="2025-03-11T00:00:00"/>
    <x v="0"/>
    <x v="4"/>
    <x v="0"/>
    <x v="0"/>
    <x v="7"/>
    <x v="1"/>
    <x v="10"/>
    <x v="0"/>
  </r>
  <r>
    <x v="1832"/>
    <x v="1"/>
    <x v="1"/>
    <n v="44.1"/>
    <x v="1047"/>
    <x v="67"/>
    <d v="2025-03-21T00:00:00"/>
    <x v="2"/>
    <x v="0"/>
    <x v="2"/>
    <x v="0"/>
    <x v="8"/>
    <x v="13"/>
    <x v="10"/>
    <x v="2"/>
  </r>
  <r>
    <x v="1833"/>
    <x v="8"/>
    <x v="12"/>
    <n v="43.5"/>
    <x v="1434"/>
    <x v="67"/>
    <d v="2025-03-15T00:00:00"/>
    <x v="1"/>
    <x v="3"/>
    <x v="0"/>
    <x v="0"/>
    <x v="8"/>
    <x v="4"/>
    <x v="10"/>
    <x v="1"/>
  </r>
  <r>
    <x v="1834"/>
    <x v="8"/>
    <x v="2"/>
    <n v="48.2"/>
    <x v="1435"/>
    <x v="67"/>
    <d v="2025-03-13T00:00:00"/>
    <x v="1"/>
    <x v="3"/>
    <x v="1"/>
    <x v="0"/>
    <x v="8"/>
    <x v="5"/>
    <x v="10"/>
    <x v="1"/>
  </r>
  <r>
    <x v="1835"/>
    <x v="19"/>
    <x v="0"/>
    <n v="13.7"/>
    <x v="1436"/>
    <x v="67"/>
    <d v="2025-03-10T00:00:00"/>
    <x v="2"/>
    <x v="2"/>
    <x v="2"/>
    <x v="0"/>
    <x v="8"/>
    <x v="3"/>
    <x v="10"/>
    <x v="2"/>
  </r>
  <r>
    <x v="1836"/>
    <x v="2"/>
    <x v="1"/>
    <n v="110.5"/>
    <x v="1437"/>
    <x v="67"/>
    <d v="2025-03-10T00:00:00"/>
    <x v="2"/>
    <x v="0"/>
    <x v="1"/>
    <x v="0"/>
    <x v="8"/>
    <x v="3"/>
    <x v="10"/>
    <x v="2"/>
  </r>
  <r>
    <x v="1837"/>
    <x v="8"/>
    <x v="2"/>
    <n v="26"/>
    <x v="292"/>
    <x v="67"/>
    <d v="2025-03-14T00:00:00"/>
    <x v="2"/>
    <x v="1"/>
    <x v="1"/>
    <x v="0"/>
    <x v="8"/>
    <x v="0"/>
    <x v="10"/>
    <x v="2"/>
  </r>
  <r>
    <x v="1838"/>
    <x v="2"/>
    <x v="7"/>
    <n v="140.69999999999999"/>
    <x v="1438"/>
    <x v="67"/>
    <d v="2025-03-15T00:00:00"/>
    <x v="1"/>
    <x v="3"/>
    <x v="1"/>
    <x v="0"/>
    <x v="8"/>
    <x v="4"/>
    <x v="10"/>
    <x v="1"/>
  </r>
  <r>
    <x v="1839"/>
    <x v="17"/>
    <x v="1"/>
    <n v="41.7"/>
    <x v="925"/>
    <x v="67"/>
    <d v="2025-03-17T00:00:00"/>
    <x v="2"/>
    <x v="0"/>
    <x v="4"/>
    <x v="0"/>
    <x v="8"/>
    <x v="9"/>
    <x v="10"/>
    <x v="2"/>
  </r>
  <r>
    <x v="1840"/>
    <x v="2"/>
    <x v="1"/>
    <n v="135.1"/>
    <x v="1439"/>
    <x v="67"/>
    <d v="2025-03-10T00:00:00"/>
    <x v="1"/>
    <x v="0"/>
    <x v="2"/>
    <x v="0"/>
    <x v="17"/>
    <x v="3"/>
    <x v="10"/>
    <x v="1"/>
  </r>
  <r>
    <x v="1841"/>
    <x v="12"/>
    <x v="32"/>
    <n v="95.5"/>
    <x v="1440"/>
    <x v="67"/>
    <d v="2025-03-10T00:00:00"/>
    <x v="2"/>
    <x v="4"/>
    <x v="4"/>
    <x v="0"/>
    <x v="26"/>
    <x v="3"/>
    <x v="10"/>
    <x v="2"/>
  </r>
  <r>
    <x v="1842"/>
    <x v="15"/>
    <x v="0"/>
    <n v="25.5"/>
    <x v="1441"/>
    <x v="67"/>
    <d v="2025-03-12T00:00:00"/>
    <x v="0"/>
    <x v="2"/>
    <x v="2"/>
    <x v="0"/>
    <x v="11"/>
    <x v="2"/>
    <x v="10"/>
    <x v="0"/>
  </r>
  <r>
    <x v="1843"/>
    <x v="1"/>
    <x v="0"/>
    <n v="42.6"/>
    <x v="440"/>
    <x v="67"/>
    <d v="2025-03-13T00:00:00"/>
    <x v="2"/>
    <x v="0"/>
    <x v="0"/>
    <x v="0"/>
    <x v="11"/>
    <x v="5"/>
    <x v="10"/>
    <x v="2"/>
  </r>
  <r>
    <x v="1844"/>
    <x v="8"/>
    <x v="20"/>
    <n v="32.4"/>
    <x v="1442"/>
    <x v="67"/>
    <d v="2025-03-10T00:00:00"/>
    <x v="1"/>
    <x v="1"/>
    <x v="1"/>
    <x v="0"/>
    <x v="11"/>
    <x v="3"/>
    <x v="10"/>
    <x v="1"/>
  </r>
  <r>
    <x v="1845"/>
    <x v="4"/>
    <x v="12"/>
    <n v="20.2"/>
    <x v="1443"/>
    <x v="67"/>
    <d v="2025-03-10T00:00:00"/>
    <x v="3"/>
    <x v="2"/>
    <x v="0"/>
    <x v="0"/>
    <x v="11"/>
    <x v="3"/>
    <x v="10"/>
    <x v="3"/>
  </r>
  <r>
    <x v="1846"/>
    <x v="16"/>
    <x v="2"/>
    <n v="52.5"/>
    <x v="905"/>
    <x v="67"/>
    <d v="2025-03-14T00:00:00"/>
    <x v="2"/>
    <x v="4"/>
    <x v="0"/>
    <x v="0"/>
    <x v="18"/>
    <x v="0"/>
    <x v="10"/>
    <x v="2"/>
  </r>
  <r>
    <x v="1847"/>
    <x v="2"/>
    <x v="9"/>
    <n v="59.9"/>
    <x v="1444"/>
    <x v="67"/>
    <d v="2025-03-11T00:00:00"/>
    <x v="2"/>
    <x v="2"/>
    <x v="0"/>
    <x v="0"/>
    <x v="19"/>
    <x v="1"/>
    <x v="10"/>
    <x v="2"/>
  </r>
  <r>
    <x v="1848"/>
    <x v="4"/>
    <x v="1"/>
    <n v="53.2"/>
    <x v="793"/>
    <x v="67"/>
    <d v="2025-03-10T00:00:00"/>
    <x v="2"/>
    <x v="1"/>
    <x v="3"/>
    <x v="0"/>
    <x v="20"/>
    <x v="3"/>
    <x v="10"/>
    <x v="2"/>
  </r>
  <r>
    <x v="1849"/>
    <x v="2"/>
    <x v="1"/>
    <n v="60"/>
    <x v="160"/>
    <x v="67"/>
    <d v="2025-03-15T00:00:00"/>
    <x v="1"/>
    <x v="1"/>
    <x v="2"/>
    <x v="0"/>
    <x v="20"/>
    <x v="4"/>
    <x v="10"/>
    <x v="1"/>
  </r>
  <r>
    <x v="1850"/>
    <x v="8"/>
    <x v="2"/>
    <n v="29.3"/>
    <x v="1205"/>
    <x v="67"/>
    <d v="2025-03-10T00:00:00"/>
    <x v="2"/>
    <x v="4"/>
    <x v="0"/>
    <x v="0"/>
    <x v="13"/>
    <x v="3"/>
    <x v="10"/>
    <x v="2"/>
  </r>
  <r>
    <x v="1851"/>
    <x v="12"/>
    <x v="1"/>
    <n v="55.4"/>
    <x v="806"/>
    <x v="67"/>
    <d v="2025-03-10T00:00:00"/>
    <x v="2"/>
    <x v="0"/>
    <x v="2"/>
    <x v="0"/>
    <x v="21"/>
    <x v="3"/>
    <x v="10"/>
    <x v="2"/>
  </r>
  <r>
    <x v="1852"/>
    <x v="0"/>
    <x v="9"/>
    <n v="20.100000000000001"/>
    <x v="427"/>
    <x v="67"/>
    <d v="2025-03-11T00:00:00"/>
    <x v="2"/>
    <x v="1"/>
    <x v="2"/>
    <x v="0"/>
    <x v="21"/>
    <x v="1"/>
    <x v="10"/>
    <x v="2"/>
  </r>
  <r>
    <x v="1853"/>
    <x v="14"/>
    <x v="9"/>
    <n v="24"/>
    <x v="160"/>
    <x v="67"/>
    <d v="2025-03-12T00:00:00"/>
    <x v="1"/>
    <x v="2"/>
    <x v="0"/>
    <x v="0"/>
    <x v="1"/>
    <x v="2"/>
    <x v="10"/>
    <x v="1"/>
  </r>
  <r>
    <x v="1854"/>
    <x v="8"/>
    <x v="1"/>
    <n v="30.6"/>
    <x v="1"/>
    <x v="68"/>
    <d v="2025-03-12T00:00:00"/>
    <x v="2"/>
    <x v="0"/>
    <x v="0"/>
    <x v="0"/>
    <x v="1"/>
    <x v="1"/>
    <x v="10"/>
    <x v="2"/>
  </r>
  <r>
    <x v="1855"/>
    <x v="10"/>
    <x v="9"/>
    <n v="33"/>
    <x v="1445"/>
    <x v="68"/>
    <d v="2025-03-11T00:00:00"/>
    <x v="1"/>
    <x v="1"/>
    <x v="1"/>
    <x v="0"/>
    <x v="27"/>
    <x v="3"/>
    <x v="10"/>
    <x v="1"/>
  </r>
  <r>
    <x v="1856"/>
    <x v="17"/>
    <x v="11"/>
    <n v="42.1"/>
    <x v="1258"/>
    <x v="68"/>
    <d v="2025-03-16T00:00:00"/>
    <x v="2"/>
    <x v="2"/>
    <x v="0"/>
    <x v="0"/>
    <x v="44"/>
    <x v="4"/>
    <x v="10"/>
    <x v="2"/>
  </r>
  <r>
    <x v="1857"/>
    <x v="6"/>
    <x v="3"/>
    <n v="77.7"/>
    <x v="1446"/>
    <x v="68"/>
    <d v="2025-03-15T00:00:00"/>
    <x v="2"/>
    <x v="1"/>
    <x v="2"/>
    <x v="0"/>
    <x v="50"/>
    <x v="0"/>
    <x v="10"/>
    <x v="2"/>
  </r>
  <r>
    <x v="1858"/>
    <x v="17"/>
    <x v="13"/>
    <n v="22.7"/>
    <x v="1134"/>
    <x v="68"/>
    <d v="2025-03-13T00:00:00"/>
    <x v="2"/>
    <x v="2"/>
    <x v="0"/>
    <x v="0"/>
    <x v="3"/>
    <x v="2"/>
    <x v="10"/>
    <x v="2"/>
  </r>
  <r>
    <x v="1859"/>
    <x v="2"/>
    <x v="1"/>
    <n v="133"/>
    <x v="751"/>
    <x v="68"/>
    <d v="2025-03-10T00:00:00"/>
    <x v="1"/>
    <x v="2"/>
    <x v="2"/>
    <x v="0"/>
    <x v="3"/>
    <x v="7"/>
    <x v="10"/>
    <x v="1"/>
  </r>
  <r>
    <x v="1860"/>
    <x v="0"/>
    <x v="1"/>
    <n v="23.3"/>
    <x v="1447"/>
    <x v="68"/>
    <d v="2025-03-11T00:00:00"/>
    <x v="1"/>
    <x v="1"/>
    <x v="2"/>
    <x v="0"/>
    <x v="3"/>
    <x v="3"/>
    <x v="10"/>
    <x v="1"/>
  </r>
  <r>
    <x v="1861"/>
    <x v="8"/>
    <x v="2"/>
    <n v="20.7"/>
    <x v="1448"/>
    <x v="68"/>
    <d v="2025-03-12T00:00:00"/>
    <x v="3"/>
    <x v="0"/>
    <x v="2"/>
    <x v="0"/>
    <x v="3"/>
    <x v="1"/>
    <x v="10"/>
    <x v="3"/>
  </r>
  <r>
    <x v="1862"/>
    <x v="12"/>
    <x v="1"/>
    <n v="47"/>
    <x v="255"/>
    <x v="68"/>
    <d v="2025-03-11T00:00:00"/>
    <x v="1"/>
    <x v="1"/>
    <x v="2"/>
    <x v="0"/>
    <x v="3"/>
    <x v="3"/>
    <x v="10"/>
    <x v="1"/>
  </r>
  <r>
    <x v="1863"/>
    <x v="12"/>
    <x v="2"/>
    <n v="38.200000000000003"/>
    <x v="1449"/>
    <x v="68"/>
    <d v="2025-03-12T00:00:00"/>
    <x v="2"/>
    <x v="2"/>
    <x v="4"/>
    <x v="0"/>
    <x v="3"/>
    <x v="1"/>
    <x v="10"/>
    <x v="2"/>
  </r>
  <r>
    <x v="1864"/>
    <x v="9"/>
    <x v="0"/>
    <n v="39.1"/>
    <x v="923"/>
    <x v="68"/>
    <d v="2025-03-12T00:00:00"/>
    <x v="2"/>
    <x v="0"/>
    <x v="0"/>
    <x v="0"/>
    <x v="3"/>
    <x v="1"/>
    <x v="10"/>
    <x v="2"/>
  </r>
  <r>
    <x v="1865"/>
    <x v="7"/>
    <x v="30"/>
    <n v="55.6"/>
    <x v="1450"/>
    <x v="68"/>
    <d v="2025-03-12T00:00:00"/>
    <x v="1"/>
    <x v="0"/>
    <x v="2"/>
    <x v="0"/>
    <x v="3"/>
    <x v="1"/>
    <x v="10"/>
    <x v="1"/>
  </r>
  <r>
    <x v="1866"/>
    <x v="15"/>
    <x v="0"/>
    <n v="43.1"/>
    <x v="39"/>
    <x v="68"/>
    <d v="2025-03-10T00:00:00"/>
    <x v="3"/>
    <x v="1"/>
    <x v="2"/>
    <x v="0"/>
    <x v="3"/>
    <x v="7"/>
    <x v="10"/>
    <x v="3"/>
  </r>
  <r>
    <x v="1867"/>
    <x v="6"/>
    <x v="12"/>
    <n v="48.1"/>
    <x v="1451"/>
    <x v="68"/>
    <d v="2025-03-11T00:00:00"/>
    <x v="2"/>
    <x v="4"/>
    <x v="2"/>
    <x v="0"/>
    <x v="3"/>
    <x v="3"/>
    <x v="10"/>
    <x v="2"/>
  </r>
  <r>
    <x v="1868"/>
    <x v="4"/>
    <x v="0"/>
    <n v="42"/>
    <x v="337"/>
    <x v="68"/>
    <d v="2025-03-11T00:00:00"/>
    <x v="3"/>
    <x v="0"/>
    <x v="0"/>
    <x v="0"/>
    <x v="3"/>
    <x v="3"/>
    <x v="10"/>
    <x v="3"/>
  </r>
  <r>
    <x v="1869"/>
    <x v="8"/>
    <x v="9"/>
    <n v="18.3"/>
    <x v="1058"/>
    <x v="68"/>
    <d v="2025-03-10T00:00:00"/>
    <x v="2"/>
    <x v="2"/>
    <x v="0"/>
    <x v="0"/>
    <x v="3"/>
    <x v="7"/>
    <x v="10"/>
    <x v="2"/>
  </r>
  <r>
    <x v="1870"/>
    <x v="10"/>
    <x v="12"/>
    <n v="45.3"/>
    <x v="1452"/>
    <x v="68"/>
    <d v="2025-03-13T00:00:00"/>
    <x v="2"/>
    <x v="0"/>
    <x v="2"/>
    <x v="0"/>
    <x v="3"/>
    <x v="2"/>
    <x v="10"/>
    <x v="2"/>
  </r>
  <r>
    <x v="1871"/>
    <x v="0"/>
    <x v="1"/>
    <n v="27.6"/>
    <x v="291"/>
    <x v="68"/>
    <d v="2025-03-12T00:00:00"/>
    <x v="1"/>
    <x v="0"/>
    <x v="2"/>
    <x v="0"/>
    <x v="37"/>
    <x v="1"/>
    <x v="10"/>
    <x v="1"/>
  </r>
  <r>
    <x v="1872"/>
    <x v="4"/>
    <x v="9"/>
    <n v="26.9"/>
    <x v="531"/>
    <x v="68"/>
    <d v="2025-03-11T00:00:00"/>
    <x v="2"/>
    <x v="2"/>
    <x v="0"/>
    <x v="0"/>
    <x v="25"/>
    <x v="3"/>
    <x v="10"/>
    <x v="2"/>
  </r>
  <r>
    <x v="1873"/>
    <x v="2"/>
    <x v="11"/>
    <n v="82.4"/>
    <x v="1453"/>
    <x v="68"/>
    <d v="2025-03-12T00:00:00"/>
    <x v="3"/>
    <x v="2"/>
    <x v="0"/>
    <x v="0"/>
    <x v="5"/>
    <x v="1"/>
    <x v="10"/>
    <x v="3"/>
  </r>
  <r>
    <x v="1874"/>
    <x v="6"/>
    <x v="0"/>
    <n v="103.7"/>
    <x v="1454"/>
    <x v="68"/>
    <d v="2025-03-12T00:00:00"/>
    <x v="2"/>
    <x v="1"/>
    <x v="0"/>
    <x v="0"/>
    <x v="5"/>
    <x v="1"/>
    <x v="10"/>
    <x v="2"/>
  </r>
  <r>
    <x v="1875"/>
    <x v="2"/>
    <x v="1"/>
    <n v="58.8"/>
    <x v="833"/>
    <x v="68"/>
    <d v="2025-03-15T00:00:00"/>
    <x v="2"/>
    <x v="1"/>
    <x v="2"/>
    <x v="0"/>
    <x v="6"/>
    <x v="0"/>
    <x v="10"/>
    <x v="2"/>
  </r>
  <r>
    <x v="1876"/>
    <x v="13"/>
    <x v="0"/>
    <n v="31.5"/>
    <x v="1455"/>
    <x v="68"/>
    <d v="2025-03-11T00:00:00"/>
    <x v="2"/>
    <x v="1"/>
    <x v="1"/>
    <x v="0"/>
    <x v="6"/>
    <x v="3"/>
    <x v="10"/>
    <x v="2"/>
  </r>
  <r>
    <x v="1877"/>
    <x v="7"/>
    <x v="9"/>
    <n v="36.799999999999997"/>
    <x v="79"/>
    <x v="68"/>
    <d v="2025-03-12T00:00:00"/>
    <x v="2"/>
    <x v="0"/>
    <x v="0"/>
    <x v="0"/>
    <x v="8"/>
    <x v="1"/>
    <x v="10"/>
    <x v="2"/>
  </r>
  <r>
    <x v="1878"/>
    <x v="3"/>
    <x v="0"/>
    <n v="84.4"/>
    <x v="533"/>
    <x v="68"/>
    <d v="2025-03-11T00:00:00"/>
    <x v="2"/>
    <x v="0"/>
    <x v="0"/>
    <x v="0"/>
    <x v="8"/>
    <x v="3"/>
    <x v="10"/>
    <x v="2"/>
  </r>
  <r>
    <x v="1879"/>
    <x v="14"/>
    <x v="0"/>
    <n v="44.7"/>
    <x v="1456"/>
    <x v="68"/>
    <d v="2025-03-11T00:00:00"/>
    <x v="1"/>
    <x v="0"/>
    <x v="1"/>
    <x v="0"/>
    <x v="8"/>
    <x v="3"/>
    <x v="10"/>
    <x v="1"/>
  </r>
  <r>
    <x v="1880"/>
    <x v="9"/>
    <x v="8"/>
    <n v="39.4"/>
    <x v="895"/>
    <x v="68"/>
    <d v="2025-03-11T00:00:00"/>
    <x v="2"/>
    <x v="1"/>
    <x v="2"/>
    <x v="0"/>
    <x v="8"/>
    <x v="3"/>
    <x v="10"/>
    <x v="2"/>
  </r>
  <r>
    <x v="1881"/>
    <x v="11"/>
    <x v="12"/>
    <n v="34.9"/>
    <x v="1457"/>
    <x v="68"/>
    <d v="2025-03-12T00:00:00"/>
    <x v="2"/>
    <x v="0"/>
    <x v="2"/>
    <x v="0"/>
    <x v="8"/>
    <x v="1"/>
    <x v="10"/>
    <x v="2"/>
  </r>
  <r>
    <x v="1882"/>
    <x v="1"/>
    <x v="2"/>
    <n v="62.3"/>
    <x v="1458"/>
    <x v="68"/>
    <d v="2025-03-12T00:00:00"/>
    <x v="1"/>
    <x v="4"/>
    <x v="2"/>
    <x v="0"/>
    <x v="8"/>
    <x v="1"/>
    <x v="10"/>
    <x v="1"/>
  </r>
  <r>
    <x v="1883"/>
    <x v="8"/>
    <x v="12"/>
    <n v="21.1"/>
    <x v="533"/>
    <x v="68"/>
    <d v="2025-03-13T00:00:00"/>
    <x v="1"/>
    <x v="3"/>
    <x v="0"/>
    <x v="0"/>
    <x v="8"/>
    <x v="2"/>
    <x v="10"/>
    <x v="1"/>
  </r>
  <r>
    <x v="1884"/>
    <x v="8"/>
    <x v="2"/>
    <n v="33.200000000000003"/>
    <x v="1459"/>
    <x v="68"/>
    <d v="2025-03-24T00:00:00"/>
    <x v="0"/>
    <x v="0"/>
    <x v="4"/>
    <x v="0"/>
    <x v="8"/>
    <x v="12"/>
    <x v="10"/>
    <x v="0"/>
  </r>
  <r>
    <x v="1885"/>
    <x v="1"/>
    <x v="12"/>
    <n v="74.5"/>
    <x v="1460"/>
    <x v="68"/>
    <d v="2025-03-11T00:00:00"/>
    <x v="1"/>
    <x v="4"/>
    <x v="0"/>
    <x v="0"/>
    <x v="8"/>
    <x v="3"/>
    <x v="10"/>
    <x v="1"/>
  </r>
  <r>
    <x v="1886"/>
    <x v="10"/>
    <x v="4"/>
    <n v="68.599999999999994"/>
    <x v="1461"/>
    <x v="68"/>
    <d v="2025-03-13T00:00:00"/>
    <x v="2"/>
    <x v="0"/>
    <x v="2"/>
    <x v="0"/>
    <x v="8"/>
    <x v="2"/>
    <x v="10"/>
    <x v="2"/>
  </r>
  <r>
    <x v="1887"/>
    <x v="5"/>
    <x v="21"/>
    <n v="36.4"/>
    <x v="1462"/>
    <x v="68"/>
    <d v="2025-03-12T00:00:00"/>
    <x v="2"/>
    <x v="0"/>
    <x v="1"/>
    <x v="0"/>
    <x v="9"/>
    <x v="1"/>
    <x v="10"/>
    <x v="2"/>
  </r>
  <r>
    <x v="1888"/>
    <x v="16"/>
    <x v="9"/>
    <n v="67.599999999999994"/>
    <x v="1463"/>
    <x v="69"/>
    <d v="2025-03-14T00:00:00"/>
    <x v="2"/>
    <x v="4"/>
    <x v="1"/>
    <x v="0"/>
    <x v="9"/>
    <x v="2"/>
    <x v="10"/>
    <x v="2"/>
  </r>
  <r>
    <x v="1889"/>
    <x v="15"/>
    <x v="0"/>
    <n v="46.3"/>
    <x v="516"/>
    <x v="69"/>
    <d v="2025-03-12T00:00:00"/>
    <x v="1"/>
    <x v="2"/>
    <x v="0"/>
    <x v="0"/>
    <x v="9"/>
    <x v="3"/>
    <x v="10"/>
    <x v="1"/>
  </r>
  <r>
    <x v="1890"/>
    <x v="1"/>
    <x v="2"/>
    <n v="124.2"/>
    <x v="1464"/>
    <x v="69"/>
    <d v="2025-03-13T00:00:00"/>
    <x v="2"/>
    <x v="1"/>
    <x v="2"/>
    <x v="0"/>
    <x v="11"/>
    <x v="1"/>
    <x v="10"/>
    <x v="2"/>
  </r>
  <r>
    <x v="1891"/>
    <x v="10"/>
    <x v="1"/>
    <n v="37"/>
    <x v="372"/>
    <x v="69"/>
    <d v="2025-03-17T00:00:00"/>
    <x v="1"/>
    <x v="0"/>
    <x v="0"/>
    <x v="0"/>
    <x v="11"/>
    <x v="4"/>
    <x v="10"/>
    <x v="1"/>
  </r>
  <r>
    <x v="1892"/>
    <x v="5"/>
    <x v="0"/>
    <n v="41.8"/>
    <x v="1465"/>
    <x v="69"/>
    <d v="2025-03-12T00:00:00"/>
    <x v="1"/>
    <x v="2"/>
    <x v="0"/>
    <x v="0"/>
    <x v="31"/>
    <x v="3"/>
    <x v="10"/>
    <x v="1"/>
  </r>
  <r>
    <x v="1893"/>
    <x v="9"/>
    <x v="1"/>
    <n v="57.2"/>
    <x v="1466"/>
    <x v="69"/>
    <d v="2025-03-13T00:00:00"/>
    <x v="1"/>
    <x v="2"/>
    <x v="1"/>
    <x v="0"/>
    <x v="20"/>
    <x v="1"/>
    <x v="10"/>
    <x v="1"/>
  </r>
  <r>
    <x v="1894"/>
    <x v="6"/>
    <x v="1"/>
    <n v="47.1"/>
    <x v="1467"/>
    <x v="69"/>
    <d v="2025-03-13T00:00:00"/>
    <x v="2"/>
    <x v="0"/>
    <x v="4"/>
    <x v="0"/>
    <x v="20"/>
    <x v="1"/>
    <x v="10"/>
    <x v="2"/>
  </r>
  <r>
    <x v="1895"/>
    <x v="5"/>
    <x v="2"/>
    <n v="86.4"/>
    <x v="1468"/>
    <x v="69"/>
    <d v="2025-03-12T00:00:00"/>
    <x v="1"/>
    <x v="2"/>
    <x v="1"/>
    <x v="0"/>
    <x v="52"/>
    <x v="3"/>
    <x v="10"/>
    <x v="1"/>
  </r>
  <r>
    <x v="1896"/>
    <x v="6"/>
    <x v="9"/>
    <n v="105"/>
    <x v="1469"/>
    <x v="69"/>
    <d v="2025-03-14T00:00:00"/>
    <x v="1"/>
    <x v="0"/>
    <x v="0"/>
    <x v="0"/>
    <x v="13"/>
    <x v="2"/>
    <x v="10"/>
    <x v="1"/>
  </r>
  <r>
    <x v="1897"/>
    <x v="18"/>
    <x v="0"/>
    <n v="33"/>
    <x v="940"/>
    <x v="69"/>
    <d v="2025-03-14T00:00:00"/>
    <x v="1"/>
    <x v="4"/>
    <x v="0"/>
    <x v="0"/>
    <x v="21"/>
    <x v="2"/>
    <x v="10"/>
    <x v="1"/>
  </r>
  <r>
    <x v="1898"/>
    <x v="6"/>
    <x v="9"/>
    <n v="106.6"/>
    <x v="1470"/>
    <x v="69"/>
    <d v="2025-03-24T00:00:00"/>
    <x v="2"/>
    <x v="2"/>
    <x v="0"/>
    <x v="0"/>
    <x v="1"/>
    <x v="10"/>
    <x v="10"/>
    <x v="2"/>
  </r>
  <r>
    <x v="1899"/>
    <x v="10"/>
    <x v="46"/>
    <n v="26.8"/>
    <x v="1471"/>
    <x v="69"/>
    <d v="2025-03-12T00:00:00"/>
    <x v="2"/>
    <x v="2"/>
    <x v="0"/>
    <x v="0"/>
    <x v="1"/>
    <x v="3"/>
    <x v="10"/>
    <x v="2"/>
  </r>
  <r>
    <x v="1900"/>
    <x v="17"/>
    <x v="9"/>
    <n v="25.8"/>
    <x v="309"/>
    <x v="69"/>
    <d v="2025-03-11T00:00:00"/>
    <x v="2"/>
    <x v="1"/>
    <x v="2"/>
    <x v="0"/>
    <x v="3"/>
    <x v="7"/>
    <x v="10"/>
    <x v="2"/>
  </r>
  <r>
    <x v="1901"/>
    <x v="2"/>
    <x v="2"/>
    <n v="217"/>
    <x v="1472"/>
    <x v="69"/>
    <d v="2025-03-12T00:00:00"/>
    <x v="2"/>
    <x v="1"/>
    <x v="1"/>
    <x v="0"/>
    <x v="3"/>
    <x v="3"/>
    <x v="10"/>
    <x v="2"/>
  </r>
  <r>
    <x v="1902"/>
    <x v="2"/>
    <x v="1"/>
    <n v="97.3"/>
    <x v="1473"/>
    <x v="69"/>
    <d v="2025-03-12T00:00:00"/>
    <x v="1"/>
    <x v="2"/>
    <x v="4"/>
    <x v="0"/>
    <x v="3"/>
    <x v="3"/>
    <x v="10"/>
    <x v="1"/>
  </r>
  <r>
    <x v="1903"/>
    <x v="1"/>
    <x v="0"/>
    <n v="49.8"/>
    <x v="1474"/>
    <x v="69"/>
    <d v="2025-03-12T00:00:00"/>
    <x v="2"/>
    <x v="0"/>
    <x v="0"/>
    <x v="0"/>
    <x v="3"/>
    <x v="3"/>
    <x v="10"/>
    <x v="2"/>
  </r>
  <r>
    <x v="1904"/>
    <x v="12"/>
    <x v="9"/>
    <n v="32.6"/>
    <x v="1475"/>
    <x v="69"/>
    <d v="2025-03-12T00:00:00"/>
    <x v="2"/>
    <x v="0"/>
    <x v="0"/>
    <x v="0"/>
    <x v="3"/>
    <x v="3"/>
    <x v="10"/>
    <x v="2"/>
  </r>
  <r>
    <x v="1905"/>
    <x v="9"/>
    <x v="1"/>
    <n v="40.1"/>
    <x v="556"/>
    <x v="69"/>
    <d v="2025-03-14T00:00:00"/>
    <x v="1"/>
    <x v="1"/>
    <x v="2"/>
    <x v="0"/>
    <x v="3"/>
    <x v="2"/>
    <x v="10"/>
    <x v="1"/>
  </r>
  <r>
    <x v="1906"/>
    <x v="10"/>
    <x v="1"/>
    <n v="49.4"/>
    <x v="197"/>
    <x v="69"/>
    <d v="2025-03-13T00:00:00"/>
    <x v="1"/>
    <x v="1"/>
    <x v="0"/>
    <x v="0"/>
    <x v="3"/>
    <x v="1"/>
    <x v="10"/>
    <x v="1"/>
  </r>
  <r>
    <x v="1907"/>
    <x v="2"/>
    <x v="0"/>
    <n v="67.3"/>
    <x v="1476"/>
    <x v="69"/>
    <d v="2025-03-12T00:00:00"/>
    <x v="2"/>
    <x v="0"/>
    <x v="2"/>
    <x v="0"/>
    <x v="3"/>
    <x v="3"/>
    <x v="10"/>
    <x v="2"/>
  </r>
  <r>
    <x v="1908"/>
    <x v="18"/>
    <x v="12"/>
    <n v="44.5"/>
    <x v="394"/>
    <x v="69"/>
    <d v="2025-03-14T00:00:00"/>
    <x v="0"/>
    <x v="1"/>
    <x v="0"/>
    <x v="0"/>
    <x v="3"/>
    <x v="2"/>
    <x v="10"/>
    <x v="0"/>
  </r>
  <r>
    <x v="1909"/>
    <x v="6"/>
    <x v="5"/>
    <n v="111.1"/>
    <x v="1477"/>
    <x v="69"/>
    <d v="2025-03-12T00:00:00"/>
    <x v="2"/>
    <x v="4"/>
    <x v="0"/>
    <x v="0"/>
    <x v="3"/>
    <x v="3"/>
    <x v="10"/>
    <x v="2"/>
  </r>
  <r>
    <x v="1910"/>
    <x v="8"/>
    <x v="2"/>
    <n v="19.7"/>
    <x v="1478"/>
    <x v="69"/>
    <d v="2025-03-12T00:00:00"/>
    <x v="2"/>
    <x v="4"/>
    <x v="4"/>
    <x v="0"/>
    <x v="3"/>
    <x v="3"/>
    <x v="10"/>
    <x v="2"/>
  </r>
  <r>
    <x v="1911"/>
    <x v="1"/>
    <x v="0"/>
    <n v="40.299999999999997"/>
    <x v="518"/>
    <x v="69"/>
    <d v="2025-03-12T00:00:00"/>
    <x v="3"/>
    <x v="1"/>
    <x v="0"/>
    <x v="0"/>
    <x v="3"/>
    <x v="3"/>
    <x v="10"/>
    <x v="3"/>
  </r>
  <r>
    <x v="1912"/>
    <x v="6"/>
    <x v="1"/>
    <n v="108.8"/>
    <x v="1479"/>
    <x v="69"/>
    <d v="2025-03-16T00:00:00"/>
    <x v="1"/>
    <x v="0"/>
    <x v="2"/>
    <x v="0"/>
    <x v="6"/>
    <x v="0"/>
    <x v="10"/>
    <x v="1"/>
  </r>
  <r>
    <x v="1913"/>
    <x v="8"/>
    <x v="2"/>
    <n v="48.2"/>
    <x v="1435"/>
    <x v="69"/>
    <d v="2025-03-16T00:00:00"/>
    <x v="2"/>
    <x v="4"/>
    <x v="0"/>
    <x v="0"/>
    <x v="7"/>
    <x v="0"/>
    <x v="10"/>
    <x v="2"/>
  </r>
  <r>
    <x v="1914"/>
    <x v="2"/>
    <x v="2"/>
    <n v="104.7"/>
    <x v="1480"/>
    <x v="69"/>
    <d v="2025-03-13T00:00:00"/>
    <x v="2"/>
    <x v="0"/>
    <x v="1"/>
    <x v="0"/>
    <x v="7"/>
    <x v="1"/>
    <x v="10"/>
    <x v="2"/>
  </r>
  <r>
    <x v="1915"/>
    <x v="1"/>
    <x v="1"/>
    <n v="80.599999999999994"/>
    <x v="154"/>
    <x v="69"/>
    <d v="2025-03-11T00:00:00"/>
    <x v="2"/>
    <x v="1"/>
    <x v="0"/>
    <x v="0"/>
    <x v="8"/>
    <x v="7"/>
    <x v="10"/>
    <x v="2"/>
  </r>
  <r>
    <x v="1916"/>
    <x v="6"/>
    <x v="0"/>
    <n v="65.5"/>
    <x v="1481"/>
    <x v="69"/>
    <d v="2025-03-13T00:00:00"/>
    <x v="3"/>
    <x v="1"/>
    <x v="0"/>
    <x v="0"/>
    <x v="8"/>
    <x v="1"/>
    <x v="10"/>
    <x v="3"/>
  </r>
  <r>
    <x v="1917"/>
    <x v="9"/>
    <x v="2"/>
    <n v="61.4"/>
    <x v="1173"/>
    <x v="69"/>
    <d v="2025-03-13T00:00:00"/>
    <x v="2"/>
    <x v="4"/>
    <x v="2"/>
    <x v="0"/>
    <x v="8"/>
    <x v="1"/>
    <x v="10"/>
    <x v="2"/>
  </r>
  <r>
    <x v="1918"/>
    <x v="0"/>
    <x v="0"/>
    <n v="12.5"/>
    <x v="1482"/>
    <x v="70"/>
    <d v="2025-03-15T00:00:00"/>
    <x v="2"/>
    <x v="0"/>
    <x v="1"/>
    <x v="0"/>
    <x v="8"/>
    <x v="2"/>
    <x v="10"/>
    <x v="2"/>
  </r>
  <r>
    <x v="1919"/>
    <x v="4"/>
    <x v="12"/>
    <n v="35.1"/>
    <x v="381"/>
    <x v="70"/>
    <d v="2025-03-13T00:00:00"/>
    <x v="1"/>
    <x v="2"/>
    <x v="1"/>
    <x v="0"/>
    <x v="17"/>
    <x v="3"/>
    <x v="10"/>
    <x v="1"/>
  </r>
  <r>
    <x v="1920"/>
    <x v="5"/>
    <x v="1"/>
    <n v="55.7"/>
    <x v="1483"/>
    <x v="70"/>
    <d v="2025-03-13T00:00:00"/>
    <x v="1"/>
    <x v="0"/>
    <x v="1"/>
    <x v="0"/>
    <x v="26"/>
    <x v="3"/>
    <x v="10"/>
    <x v="1"/>
  </r>
  <r>
    <x v="1921"/>
    <x v="7"/>
    <x v="1"/>
    <n v="57.7"/>
    <x v="1484"/>
    <x v="70"/>
    <d v="2025-03-14T00:00:00"/>
    <x v="1"/>
    <x v="4"/>
    <x v="1"/>
    <x v="0"/>
    <x v="9"/>
    <x v="1"/>
    <x v="10"/>
    <x v="1"/>
  </r>
  <r>
    <x v="1922"/>
    <x v="2"/>
    <x v="13"/>
    <n v="85.7"/>
    <x v="1485"/>
    <x v="70"/>
    <d v="2025-03-13T00:00:00"/>
    <x v="1"/>
    <x v="3"/>
    <x v="2"/>
    <x v="0"/>
    <x v="9"/>
    <x v="3"/>
    <x v="10"/>
    <x v="1"/>
  </r>
  <r>
    <x v="1923"/>
    <x v="2"/>
    <x v="2"/>
    <n v="86.9"/>
    <x v="1486"/>
    <x v="70"/>
    <d v="2025-03-14T00:00:00"/>
    <x v="2"/>
    <x v="1"/>
    <x v="0"/>
    <x v="0"/>
    <x v="11"/>
    <x v="1"/>
    <x v="10"/>
    <x v="2"/>
  </r>
  <r>
    <x v="1924"/>
    <x v="18"/>
    <x v="1"/>
    <n v="46.4"/>
    <x v="1487"/>
    <x v="70"/>
    <d v="2025-03-15T00:00:00"/>
    <x v="2"/>
    <x v="4"/>
    <x v="0"/>
    <x v="0"/>
    <x v="11"/>
    <x v="2"/>
    <x v="10"/>
    <x v="2"/>
  </r>
  <r>
    <x v="1925"/>
    <x v="5"/>
    <x v="2"/>
    <n v="25.4"/>
    <x v="1488"/>
    <x v="70"/>
    <d v="2025-03-12T00:00:00"/>
    <x v="2"/>
    <x v="2"/>
    <x v="2"/>
    <x v="0"/>
    <x v="18"/>
    <x v="7"/>
    <x v="10"/>
    <x v="2"/>
  </r>
  <r>
    <x v="1926"/>
    <x v="10"/>
    <x v="2"/>
    <n v="47.8"/>
    <x v="1489"/>
    <x v="70"/>
    <d v="2025-03-12T00:00:00"/>
    <x v="0"/>
    <x v="2"/>
    <x v="2"/>
    <x v="0"/>
    <x v="19"/>
    <x v="7"/>
    <x v="10"/>
    <x v="0"/>
  </r>
  <r>
    <x v="1927"/>
    <x v="8"/>
    <x v="10"/>
    <n v="18.399999999999999"/>
    <x v="1490"/>
    <x v="70"/>
    <d v="2025-03-14T00:00:00"/>
    <x v="3"/>
    <x v="2"/>
    <x v="0"/>
    <x v="0"/>
    <x v="20"/>
    <x v="1"/>
    <x v="10"/>
    <x v="3"/>
  </r>
  <r>
    <x v="1928"/>
    <x v="12"/>
    <x v="2"/>
    <n v="65.5"/>
    <x v="756"/>
    <x v="70"/>
    <d v="2025-03-20T00:00:00"/>
    <x v="2"/>
    <x v="0"/>
    <x v="0"/>
    <x v="0"/>
    <x v="21"/>
    <x v="9"/>
    <x v="10"/>
    <x v="2"/>
  </r>
  <r>
    <x v="1929"/>
    <x v="10"/>
    <x v="1"/>
    <n v="50.6"/>
    <x v="855"/>
    <x v="70"/>
    <d v="2025-03-15T00:00:00"/>
    <x v="1"/>
    <x v="2"/>
    <x v="4"/>
    <x v="0"/>
    <x v="21"/>
    <x v="2"/>
    <x v="10"/>
    <x v="1"/>
  </r>
  <r>
    <x v="1930"/>
    <x v="3"/>
    <x v="9"/>
    <n v="69"/>
    <x v="1491"/>
    <x v="70"/>
    <d v="2025-03-16T00:00:00"/>
    <x v="1"/>
    <x v="3"/>
    <x v="0"/>
    <x v="0"/>
    <x v="21"/>
    <x v="5"/>
    <x v="10"/>
    <x v="1"/>
  </r>
  <r>
    <x v="1931"/>
    <x v="9"/>
    <x v="8"/>
    <n v="51.1"/>
    <x v="18"/>
    <x v="70"/>
    <d v="2025-03-14T00:00:00"/>
    <x v="2"/>
    <x v="0"/>
    <x v="0"/>
    <x v="0"/>
    <x v="1"/>
    <x v="1"/>
    <x v="10"/>
    <x v="2"/>
  </r>
  <r>
    <x v="1932"/>
    <x v="9"/>
    <x v="0"/>
    <n v="36.1"/>
    <x v="168"/>
    <x v="70"/>
    <d v="2025-03-13T00:00:00"/>
    <x v="2"/>
    <x v="0"/>
    <x v="2"/>
    <x v="0"/>
    <x v="34"/>
    <x v="3"/>
    <x v="10"/>
    <x v="2"/>
  </r>
  <r>
    <x v="1933"/>
    <x v="14"/>
    <x v="0"/>
    <n v="18.7"/>
    <x v="1492"/>
    <x v="70"/>
    <d v="2025-03-13T00:00:00"/>
    <x v="1"/>
    <x v="0"/>
    <x v="0"/>
    <x v="0"/>
    <x v="3"/>
    <x v="3"/>
    <x v="10"/>
    <x v="1"/>
  </r>
  <r>
    <x v="1934"/>
    <x v="17"/>
    <x v="0"/>
    <n v="30.1"/>
    <x v="1493"/>
    <x v="70"/>
    <d v="2025-03-15T00:00:00"/>
    <x v="2"/>
    <x v="3"/>
    <x v="1"/>
    <x v="0"/>
    <x v="3"/>
    <x v="2"/>
    <x v="10"/>
    <x v="2"/>
  </r>
  <r>
    <x v="1935"/>
    <x v="8"/>
    <x v="0"/>
    <n v="16.3"/>
    <x v="1494"/>
    <x v="70"/>
    <d v="2025-03-13T00:00:00"/>
    <x v="1"/>
    <x v="3"/>
    <x v="0"/>
    <x v="0"/>
    <x v="3"/>
    <x v="3"/>
    <x v="10"/>
    <x v="1"/>
  </r>
  <r>
    <x v="1936"/>
    <x v="1"/>
    <x v="2"/>
    <n v="63.8"/>
    <x v="1348"/>
    <x v="70"/>
    <d v="2025-03-17T00:00:00"/>
    <x v="2"/>
    <x v="2"/>
    <x v="1"/>
    <x v="0"/>
    <x v="3"/>
    <x v="0"/>
    <x v="10"/>
    <x v="2"/>
  </r>
  <r>
    <x v="1937"/>
    <x v="1"/>
    <x v="3"/>
    <n v="73.900000000000006"/>
    <x v="1495"/>
    <x v="70"/>
    <d v="2025-03-12T00:00:00"/>
    <x v="2"/>
    <x v="0"/>
    <x v="1"/>
    <x v="0"/>
    <x v="3"/>
    <x v="7"/>
    <x v="10"/>
    <x v="2"/>
  </r>
  <r>
    <x v="1938"/>
    <x v="0"/>
    <x v="1"/>
    <n v="20.2"/>
    <x v="1400"/>
    <x v="70"/>
    <d v="2025-03-13T00:00:00"/>
    <x v="1"/>
    <x v="0"/>
    <x v="1"/>
    <x v="0"/>
    <x v="3"/>
    <x v="3"/>
    <x v="10"/>
    <x v="1"/>
  </r>
  <r>
    <x v="1939"/>
    <x v="11"/>
    <x v="5"/>
    <n v="29.5"/>
    <x v="1496"/>
    <x v="70"/>
    <d v="2025-03-13T00:00:00"/>
    <x v="1"/>
    <x v="0"/>
    <x v="0"/>
    <x v="0"/>
    <x v="3"/>
    <x v="3"/>
    <x v="10"/>
    <x v="1"/>
  </r>
  <r>
    <x v="1940"/>
    <x v="15"/>
    <x v="3"/>
    <n v="37.9"/>
    <x v="1497"/>
    <x v="70"/>
    <d v="2025-03-13T00:00:00"/>
    <x v="1"/>
    <x v="1"/>
    <x v="0"/>
    <x v="0"/>
    <x v="3"/>
    <x v="3"/>
    <x v="10"/>
    <x v="1"/>
  </r>
  <r>
    <x v="1941"/>
    <x v="2"/>
    <x v="0"/>
    <n v="56.5"/>
    <x v="1498"/>
    <x v="70"/>
    <d v="2025-03-13T00:00:00"/>
    <x v="2"/>
    <x v="2"/>
    <x v="1"/>
    <x v="0"/>
    <x v="3"/>
    <x v="3"/>
    <x v="10"/>
    <x v="2"/>
  </r>
  <r>
    <x v="1942"/>
    <x v="2"/>
    <x v="1"/>
    <n v="66.900000000000006"/>
    <x v="981"/>
    <x v="70"/>
    <d v="2025-03-18T00:00:00"/>
    <x v="1"/>
    <x v="1"/>
    <x v="4"/>
    <x v="0"/>
    <x v="25"/>
    <x v="4"/>
    <x v="10"/>
    <x v="1"/>
  </r>
  <r>
    <x v="1943"/>
    <x v="2"/>
    <x v="9"/>
    <n v="51.9"/>
    <x v="1499"/>
    <x v="70"/>
    <d v="2025-03-15T00:00:00"/>
    <x v="1"/>
    <x v="1"/>
    <x v="0"/>
    <x v="0"/>
    <x v="7"/>
    <x v="2"/>
    <x v="10"/>
    <x v="1"/>
  </r>
  <r>
    <x v="1944"/>
    <x v="2"/>
    <x v="1"/>
    <n v="75.599999999999994"/>
    <x v="277"/>
    <x v="70"/>
    <d v="2025-03-15T00:00:00"/>
    <x v="1"/>
    <x v="1"/>
    <x v="0"/>
    <x v="0"/>
    <x v="8"/>
    <x v="2"/>
    <x v="10"/>
    <x v="1"/>
  </r>
  <r>
    <x v="1945"/>
    <x v="12"/>
    <x v="13"/>
    <n v="47.3"/>
    <x v="592"/>
    <x v="70"/>
    <d v="2025-03-23T00:00:00"/>
    <x v="1"/>
    <x v="0"/>
    <x v="0"/>
    <x v="0"/>
    <x v="8"/>
    <x v="11"/>
    <x v="10"/>
    <x v="1"/>
  </r>
  <r>
    <x v="1946"/>
    <x v="4"/>
    <x v="0"/>
    <n v="20.6"/>
    <x v="1500"/>
    <x v="70"/>
    <d v="2025-03-13T00:00:00"/>
    <x v="0"/>
    <x v="0"/>
    <x v="1"/>
    <x v="0"/>
    <x v="8"/>
    <x v="3"/>
    <x v="10"/>
    <x v="0"/>
  </r>
  <r>
    <x v="1947"/>
    <x v="6"/>
    <x v="2"/>
    <n v="49.7"/>
    <x v="1501"/>
    <x v="70"/>
    <d v="2025-03-14T00:00:00"/>
    <x v="1"/>
    <x v="0"/>
    <x v="1"/>
    <x v="0"/>
    <x v="8"/>
    <x v="1"/>
    <x v="10"/>
    <x v="1"/>
  </r>
  <r>
    <x v="1948"/>
    <x v="3"/>
    <x v="0"/>
    <n v="37.9"/>
    <x v="853"/>
    <x v="70"/>
    <d v="2025-03-14T00:00:00"/>
    <x v="2"/>
    <x v="0"/>
    <x v="0"/>
    <x v="0"/>
    <x v="8"/>
    <x v="1"/>
    <x v="10"/>
    <x v="2"/>
  </r>
  <r>
    <x v="1949"/>
    <x v="13"/>
    <x v="20"/>
    <n v="32"/>
    <x v="1502"/>
    <x v="70"/>
    <d v="2025-03-14T00:00:00"/>
    <x v="2"/>
    <x v="4"/>
    <x v="0"/>
    <x v="0"/>
    <x v="11"/>
    <x v="1"/>
    <x v="10"/>
    <x v="2"/>
  </r>
  <r>
    <x v="1950"/>
    <x v="10"/>
    <x v="16"/>
    <n v="38.5"/>
    <x v="1503"/>
    <x v="71"/>
    <d v="2025-03-14T00:00:00"/>
    <x v="1"/>
    <x v="0"/>
    <x v="2"/>
    <x v="0"/>
    <x v="11"/>
    <x v="3"/>
    <x v="10"/>
    <x v="1"/>
  </r>
  <r>
    <x v="1951"/>
    <x v="0"/>
    <x v="12"/>
    <n v="11.7"/>
    <x v="86"/>
    <x v="71"/>
    <d v="2025-03-15T00:00:00"/>
    <x v="2"/>
    <x v="1"/>
    <x v="0"/>
    <x v="0"/>
    <x v="20"/>
    <x v="1"/>
    <x v="10"/>
    <x v="2"/>
  </r>
  <r>
    <x v="1952"/>
    <x v="3"/>
    <x v="13"/>
    <n v="83.8"/>
    <x v="1504"/>
    <x v="71"/>
    <d v="2025-03-14T00:00:00"/>
    <x v="1"/>
    <x v="0"/>
    <x v="0"/>
    <x v="0"/>
    <x v="21"/>
    <x v="3"/>
    <x v="10"/>
    <x v="1"/>
  </r>
  <r>
    <x v="1953"/>
    <x v="0"/>
    <x v="3"/>
    <n v="14"/>
    <x v="11"/>
    <x v="71"/>
    <d v="2025-03-16T00:00:00"/>
    <x v="1"/>
    <x v="0"/>
    <x v="1"/>
    <x v="0"/>
    <x v="22"/>
    <x v="2"/>
    <x v="10"/>
    <x v="1"/>
  </r>
  <r>
    <x v="1954"/>
    <x v="16"/>
    <x v="12"/>
    <n v="77.3"/>
    <x v="1505"/>
    <x v="71"/>
    <d v="2025-03-15T00:00:00"/>
    <x v="2"/>
    <x v="4"/>
    <x v="2"/>
    <x v="0"/>
    <x v="3"/>
    <x v="1"/>
    <x v="10"/>
    <x v="2"/>
  </r>
  <r>
    <x v="1955"/>
    <x v="2"/>
    <x v="1"/>
    <n v="76.900000000000006"/>
    <x v="1506"/>
    <x v="71"/>
    <d v="2025-03-17T00:00:00"/>
    <x v="2"/>
    <x v="0"/>
    <x v="1"/>
    <x v="0"/>
    <x v="3"/>
    <x v="5"/>
    <x v="10"/>
    <x v="2"/>
  </r>
  <r>
    <x v="1956"/>
    <x v="1"/>
    <x v="0"/>
    <n v="48"/>
    <x v="510"/>
    <x v="71"/>
    <d v="2025-03-15T00:00:00"/>
    <x v="2"/>
    <x v="1"/>
    <x v="2"/>
    <x v="0"/>
    <x v="3"/>
    <x v="1"/>
    <x v="10"/>
    <x v="2"/>
  </r>
  <r>
    <x v="1957"/>
    <x v="2"/>
    <x v="0"/>
    <n v="94.5"/>
    <x v="234"/>
    <x v="71"/>
    <d v="2025-03-16T00:00:00"/>
    <x v="1"/>
    <x v="1"/>
    <x v="1"/>
    <x v="0"/>
    <x v="3"/>
    <x v="2"/>
    <x v="10"/>
    <x v="1"/>
  </r>
  <r>
    <x v="1958"/>
    <x v="10"/>
    <x v="2"/>
    <n v="58.4"/>
    <x v="122"/>
    <x v="71"/>
    <d v="2025-03-15T00:00:00"/>
    <x v="2"/>
    <x v="1"/>
    <x v="2"/>
    <x v="0"/>
    <x v="3"/>
    <x v="1"/>
    <x v="10"/>
    <x v="2"/>
  </r>
  <r>
    <x v="1959"/>
    <x v="7"/>
    <x v="15"/>
    <n v="42.2"/>
    <x v="1507"/>
    <x v="71"/>
    <d v="2025-03-13T00:00:00"/>
    <x v="1"/>
    <x v="0"/>
    <x v="0"/>
    <x v="0"/>
    <x v="25"/>
    <x v="7"/>
    <x v="10"/>
    <x v="1"/>
  </r>
  <r>
    <x v="1960"/>
    <x v="6"/>
    <x v="1"/>
    <n v="152.19999999999999"/>
    <x v="1508"/>
    <x v="71"/>
    <d v="2025-03-14T00:00:00"/>
    <x v="1"/>
    <x v="4"/>
    <x v="1"/>
    <x v="0"/>
    <x v="25"/>
    <x v="3"/>
    <x v="10"/>
    <x v="1"/>
  </r>
  <r>
    <x v="1961"/>
    <x v="6"/>
    <x v="25"/>
    <n v="72"/>
    <x v="1509"/>
    <x v="71"/>
    <d v="2025-03-14T00:00:00"/>
    <x v="1"/>
    <x v="0"/>
    <x v="1"/>
    <x v="0"/>
    <x v="6"/>
    <x v="3"/>
    <x v="10"/>
    <x v="1"/>
  </r>
  <r>
    <x v="1962"/>
    <x v="1"/>
    <x v="44"/>
    <n v="70.900000000000006"/>
    <x v="1510"/>
    <x v="71"/>
    <d v="2025-03-14T00:00:00"/>
    <x v="2"/>
    <x v="2"/>
    <x v="0"/>
    <x v="0"/>
    <x v="8"/>
    <x v="3"/>
    <x v="10"/>
    <x v="2"/>
  </r>
  <r>
    <x v="1963"/>
    <x v="2"/>
    <x v="1"/>
    <n v="53.7"/>
    <x v="1511"/>
    <x v="71"/>
    <d v="2025-03-14T00:00:00"/>
    <x v="1"/>
    <x v="2"/>
    <x v="2"/>
    <x v="0"/>
    <x v="8"/>
    <x v="3"/>
    <x v="10"/>
    <x v="1"/>
  </r>
  <r>
    <x v="1964"/>
    <x v="9"/>
    <x v="12"/>
    <n v="42.9"/>
    <x v="1512"/>
    <x v="71"/>
    <d v="2025-03-14T00:00:00"/>
    <x v="2"/>
    <x v="2"/>
    <x v="4"/>
    <x v="0"/>
    <x v="9"/>
    <x v="3"/>
    <x v="10"/>
    <x v="2"/>
  </r>
  <r>
    <x v="1965"/>
    <x v="2"/>
    <x v="3"/>
    <n v="107.5"/>
    <x v="1513"/>
    <x v="71"/>
    <d v="2025-03-14T00:00:00"/>
    <x v="1"/>
    <x v="1"/>
    <x v="0"/>
    <x v="0"/>
    <x v="11"/>
    <x v="3"/>
    <x v="10"/>
    <x v="1"/>
  </r>
  <r>
    <x v="1966"/>
    <x v="17"/>
    <x v="27"/>
    <n v="21.5"/>
    <x v="1213"/>
    <x v="71"/>
    <d v="2025-03-14T00:00:00"/>
    <x v="1"/>
    <x v="1"/>
    <x v="1"/>
    <x v="0"/>
    <x v="32"/>
    <x v="3"/>
    <x v="10"/>
    <x v="1"/>
  </r>
  <r>
    <x v="1967"/>
    <x v="3"/>
    <x v="9"/>
    <n v="85.3"/>
    <x v="1514"/>
    <x v="71"/>
    <d v="2025-03-15T00:00:00"/>
    <x v="2"/>
    <x v="3"/>
    <x v="0"/>
    <x v="0"/>
    <x v="18"/>
    <x v="1"/>
    <x v="10"/>
    <x v="2"/>
  </r>
  <r>
    <x v="1968"/>
    <x v="7"/>
    <x v="9"/>
    <n v="80.8"/>
    <x v="1515"/>
    <x v="71"/>
    <d v="2025-03-21T00:00:00"/>
    <x v="3"/>
    <x v="1"/>
    <x v="1"/>
    <x v="0"/>
    <x v="19"/>
    <x v="9"/>
    <x v="10"/>
    <x v="3"/>
  </r>
  <r>
    <x v="1969"/>
    <x v="2"/>
    <x v="2"/>
    <n v="123.1"/>
    <x v="1516"/>
    <x v="71"/>
    <d v="2025-03-15T00:00:00"/>
    <x v="0"/>
    <x v="2"/>
    <x v="0"/>
    <x v="0"/>
    <x v="21"/>
    <x v="1"/>
    <x v="10"/>
    <x v="0"/>
  </r>
  <r>
    <x v="1970"/>
    <x v="8"/>
    <x v="1"/>
    <n v="36.9"/>
    <x v="1517"/>
    <x v="71"/>
    <d v="2025-03-15T00:00:00"/>
    <x v="2"/>
    <x v="2"/>
    <x v="4"/>
    <x v="0"/>
    <x v="51"/>
    <x v="1"/>
    <x v="10"/>
    <x v="2"/>
  </r>
  <r>
    <x v="1971"/>
    <x v="11"/>
    <x v="9"/>
    <n v="40"/>
    <x v="308"/>
    <x v="71"/>
    <d v="2025-03-14T00:00:00"/>
    <x v="1"/>
    <x v="0"/>
    <x v="0"/>
    <x v="0"/>
    <x v="1"/>
    <x v="3"/>
    <x v="10"/>
    <x v="1"/>
  </r>
  <r>
    <x v="1972"/>
    <x v="6"/>
    <x v="2"/>
    <n v="55.5"/>
    <x v="1256"/>
    <x v="71"/>
    <d v="2025-03-14T00:00:00"/>
    <x v="1"/>
    <x v="4"/>
    <x v="2"/>
    <x v="0"/>
    <x v="1"/>
    <x v="3"/>
    <x v="10"/>
    <x v="1"/>
  </r>
  <r>
    <x v="1973"/>
    <x v="0"/>
    <x v="12"/>
    <n v="20.5"/>
    <x v="1518"/>
    <x v="71"/>
    <d v="2025-03-17T00:00:00"/>
    <x v="2"/>
    <x v="4"/>
    <x v="0"/>
    <x v="0"/>
    <x v="1"/>
    <x v="5"/>
    <x v="10"/>
    <x v="2"/>
  </r>
  <r>
    <x v="1974"/>
    <x v="18"/>
    <x v="12"/>
    <n v="50.1"/>
    <x v="1519"/>
    <x v="71"/>
    <d v="2025-03-14T00:00:00"/>
    <x v="2"/>
    <x v="4"/>
    <x v="0"/>
    <x v="0"/>
    <x v="1"/>
    <x v="3"/>
    <x v="10"/>
    <x v="2"/>
  </r>
  <r>
    <x v="1975"/>
    <x v="9"/>
    <x v="0"/>
    <n v="35.9"/>
    <x v="1520"/>
    <x v="71"/>
    <d v="2025-03-15T00:00:00"/>
    <x v="1"/>
    <x v="1"/>
    <x v="2"/>
    <x v="0"/>
    <x v="1"/>
    <x v="1"/>
    <x v="10"/>
    <x v="1"/>
  </r>
  <r>
    <x v="1976"/>
    <x v="13"/>
    <x v="12"/>
    <n v="29.4"/>
    <x v="833"/>
    <x v="72"/>
    <d v="2025-03-15T00:00:00"/>
    <x v="1"/>
    <x v="2"/>
    <x v="2"/>
    <x v="0"/>
    <x v="33"/>
    <x v="3"/>
    <x v="10"/>
    <x v="1"/>
  </r>
  <r>
    <x v="1977"/>
    <x v="8"/>
    <x v="9"/>
    <n v="29.1"/>
    <x v="973"/>
    <x v="72"/>
    <d v="2025-03-22T00:00:00"/>
    <x v="3"/>
    <x v="2"/>
    <x v="1"/>
    <x v="0"/>
    <x v="33"/>
    <x v="9"/>
    <x v="10"/>
    <x v="3"/>
  </r>
  <r>
    <x v="1978"/>
    <x v="8"/>
    <x v="2"/>
    <n v="33.5"/>
    <x v="427"/>
    <x v="72"/>
    <d v="2025-03-26T00:00:00"/>
    <x v="1"/>
    <x v="0"/>
    <x v="2"/>
    <x v="0"/>
    <x v="22"/>
    <x v="13"/>
    <x v="10"/>
    <x v="1"/>
  </r>
  <r>
    <x v="1979"/>
    <x v="4"/>
    <x v="7"/>
    <n v="36"/>
    <x v="1521"/>
    <x v="72"/>
    <d v="2025-03-14T00:00:00"/>
    <x v="1"/>
    <x v="3"/>
    <x v="2"/>
    <x v="0"/>
    <x v="3"/>
    <x v="7"/>
    <x v="10"/>
    <x v="1"/>
  </r>
  <r>
    <x v="1980"/>
    <x v="16"/>
    <x v="2"/>
    <n v="57.3"/>
    <x v="1522"/>
    <x v="72"/>
    <d v="2025-03-18T00:00:00"/>
    <x v="2"/>
    <x v="0"/>
    <x v="2"/>
    <x v="0"/>
    <x v="3"/>
    <x v="5"/>
    <x v="10"/>
    <x v="2"/>
  </r>
  <r>
    <x v="1981"/>
    <x v="1"/>
    <x v="0"/>
    <n v="81.400000000000006"/>
    <x v="1523"/>
    <x v="72"/>
    <d v="2025-03-15T00:00:00"/>
    <x v="2"/>
    <x v="2"/>
    <x v="2"/>
    <x v="0"/>
    <x v="3"/>
    <x v="3"/>
    <x v="10"/>
    <x v="2"/>
  </r>
  <r>
    <x v="1982"/>
    <x v="10"/>
    <x v="1"/>
    <n v="35.299999999999997"/>
    <x v="527"/>
    <x v="72"/>
    <d v="2025-03-18T00:00:00"/>
    <x v="1"/>
    <x v="0"/>
    <x v="2"/>
    <x v="0"/>
    <x v="3"/>
    <x v="5"/>
    <x v="10"/>
    <x v="1"/>
  </r>
  <r>
    <x v="1983"/>
    <x v="3"/>
    <x v="0"/>
    <n v="36.1"/>
    <x v="168"/>
    <x v="72"/>
    <d v="2025-03-15T00:00:00"/>
    <x v="2"/>
    <x v="4"/>
    <x v="0"/>
    <x v="0"/>
    <x v="3"/>
    <x v="3"/>
    <x v="10"/>
    <x v="2"/>
  </r>
  <r>
    <x v="1984"/>
    <x v="1"/>
    <x v="1"/>
    <n v="36.700000000000003"/>
    <x v="1524"/>
    <x v="72"/>
    <d v="2025-03-16T00:00:00"/>
    <x v="2"/>
    <x v="0"/>
    <x v="2"/>
    <x v="0"/>
    <x v="3"/>
    <x v="1"/>
    <x v="10"/>
    <x v="2"/>
  </r>
  <r>
    <x v="1985"/>
    <x v="10"/>
    <x v="0"/>
    <n v="20.9"/>
    <x v="798"/>
    <x v="72"/>
    <d v="2025-03-16T00:00:00"/>
    <x v="2"/>
    <x v="0"/>
    <x v="4"/>
    <x v="0"/>
    <x v="3"/>
    <x v="1"/>
    <x v="10"/>
    <x v="2"/>
  </r>
  <r>
    <x v="1986"/>
    <x v="12"/>
    <x v="2"/>
    <n v="58.8"/>
    <x v="1525"/>
    <x v="72"/>
    <d v="2025-03-18T00:00:00"/>
    <x v="1"/>
    <x v="0"/>
    <x v="2"/>
    <x v="0"/>
    <x v="25"/>
    <x v="5"/>
    <x v="10"/>
    <x v="1"/>
  </r>
  <r>
    <x v="1987"/>
    <x v="2"/>
    <x v="2"/>
    <n v="97.6"/>
    <x v="1526"/>
    <x v="73"/>
    <d v="2025-03-17T00:00:00"/>
    <x v="0"/>
    <x v="0"/>
    <x v="0"/>
    <x v="0"/>
    <x v="6"/>
    <x v="1"/>
    <x v="10"/>
    <x v="0"/>
  </r>
  <r>
    <x v="1988"/>
    <x v="1"/>
    <x v="1"/>
    <n v="58.7"/>
    <x v="1527"/>
    <x v="73"/>
    <d v="2025-03-18T00:00:00"/>
    <x v="2"/>
    <x v="0"/>
    <x v="1"/>
    <x v="0"/>
    <x v="6"/>
    <x v="2"/>
    <x v="10"/>
    <x v="2"/>
  </r>
  <r>
    <x v="1989"/>
    <x v="6"/>
    <x v="9"/>
    <n v="71.900000000000006"/>
    <x v="1528"/>
    <x v="73"/>
    <d v="2025-03-16T00:00:00"/>
    <x v="0"/>
    <x v="0"/>
    <x v="1"/>
    <x v="0"/>
    <x v="6"/>
    <x v="3"/>
    <x v="10"/>
    <x v="0"/>
  </r>
  <r>
    <x v="1990"/>
    <x v="1"/>
    <x v="1"/>
    <n v="62.4"/>
    <x v="1109"/>
    <x v="73"/>
    <d v="2025-03-17T00:00:00"/>
    <x v="0"/>
    <x v="0"/>
    <x v="1"/>
    <x v="0"/>
    <x v="8"/>
    <x v="1"/>
    <x v="10"/>
    <x v="0"/>
  </r>
  <r>
    <x v="1991"/>
    <x v="6"/>
    <x v="27"/>
    <n v="53.8"/>
    <x v="1529"/>
    <x v="73"/>
    <d v="2025-03-16T00:00:00"/>
    <x v="2"/>
    <x v="1"/>
    <x v="0"/>
    <x v="0"/>
    <x v="8"/>
    <x v="3"/>
    <x v="10"/>
    <x v="2"/>
  </r>
  <r>
    <x v="1992"/>
    <x v="9"/>
    <x v="0"/>
    <n v="43.8"/>
    <x v="328"/>
    <x v="73"/>
    <d v="2025-03-22T00:00:00"/>
    <x v="2"/>
    <x v="0"/>
    <x v="2"/>
    <x v="0"/>
    <x v="8"/>
    <x v="6"/>
    <x v="10"/>
    <x v="2"/>
  </r>
  <r>
    <x v="1993"/>
    <x v="5"/>
    <x v="2"/>
    <n v="53.6"/>
    <x v="1530"/>
    <x v="73"/>
    <d v="2025-03-16T00:00:00"/>
    <x v="1"/>
    <x v="3"/>
    <x v="0"/>
    <x v="0"/>
    <x v="8"/>
    <x v="3"/>
    <x v="10"/>
    <x v="1"/>
  </r>
  <r>
    <x v="1994"/>
    <x v="12"/>
    <x v="1"/>
    <n v="84.3"/>
    <x v="1531"/>
    <x v="73"/>
    <d v="2025-03-18T00:00:00"/>
    <x v="1"/>
    <x v="4"/>
    <x v="1"/>
    <x v="0"/>
    <x v="8"/>
    <x v="2"/>
    <x v="10"/>
    <x v="1"/>
  </r>
  <r>
    <x v="1995"/>
    <x v="6"/>
    <x v="11"/>
    <n v="117.9"/>
    <x v="1532"/>
    <x v="73"/>
    <d v="2025-03-16T00:00:00"/>
    <x v="2"/>
    <x v="1"/>
    <x v="2"/>
    <x v="0"/>
    <x v="8"/>
    <x v="3"/>
    <x v="10"/>
    <x v="2"/>
  </r>
  <r>
    <x v="1996"/>
    <x v="4"/>
    <x v="8"/>
    <n v="30"/>
    <x v="1533"/>
    <x v="73"/>
    <d v="2025-03-16T00:00:00"/>
    <x v="2"/>
    <x v="1"/>
    <x v="0"/>
    <x v="0"/>
    <x v="26"/>
    <x v="3"/>
    <x v="10"/>
    <x v="2"/>
  </r>
  <r>
    <x v="1997"/>
    <x v="14"/>
    <x v="2"/>
    <n v="37.299999999999997"/>
    <x v="1534"/>
    <x v="73"/>
    <d v="2025-03-16T00:00:00"/>
    <x v="1"/>
    <x v="2"/>
    <x v="0"/>
    <x v="0"/>
    <x v="9"/>
    <x v="3"/>
    <x v="10"/>
    <x v="1"/>
  </r>
  <r>
    <x v="1998"/>
    <x v="4"/>
    <x v="11"/>
    <n v="25.1"/>
    <x v="1535"/>
    <x v="73"/>
    <d v="2025-03-17T00:00:00"/>
    <x v="1"/>
    <x v="1"/>
    <x v="2"/>
    <x v="0"/>
    <x v="11"/>
    <x v="1"/>
    <x v="10"/>
    <x v="1"/>
  </r>
  <r>
    <x v="1999"/>
    <x v="8"/>
    <x v="5"/>
    <n v="36"/>
    <x v="501"/>
    <x v="73"/>
    <d v="2025-03-25T00:00:00"/>
    <x v="1"/>
    <x v="1"/>
    <x v="0"/>
    <x v="0"/>
    <x v="18"/>
    <x v="14"/>
    <x v="10"/>
    <x v="1"/>
  </r>
  <r>
    <x v="2000"/>
    <x v="16"/>
    <x v="2"/>
    <n v="48.5"/>
    <x v="973"/>
    <x v="73"/>
    <d v="2025-03-19T00:00:00"/>
    <x v="2"/>
    <x v="1"/>
    <x v="0"/>
    <x v="0"/>
    <x v="19"/>
    <x v="5"/>
    <x v="10"/>
    <x v="2"/>
  </r>
  <r>
    <x v="2001"/>
    <x v="17"/>
    <x v="13"/>
    <n v="21.1"/>
    <x v="1077"/>
    <x v="73"/>
    <d v="2025-03-16T00:00:00"/>
    <x v="1"/>
    <x v="1"/>
    <x v="2"/>
    <x v="0"/>
    <x v="21"/>
    <x v="3"/>
    <x v="10"/>
    <x v="1"/>
  </r>
  <r>
    <x v="2002"/>
    <x v="15"/>
    <x v="21"/>
    <n v="43.2"/>
    <x v="1536"/>
    <x v="73"/>
    <d v="2025-03-16T00:00:00"/>
    <x v="3"/>
    <x v="0"/>
    <x v="1"/>
    <x v="0"/>
    <x v="21"/>
    <x v="3"/>
    <x v="10"/>
    <x v="3"/>
  </r>
  <r>
    <x v="2003"/>
    <x v="9"/>
    <x v="1"/>
    <n v="21.1"/>
    <x v="1283"/>
    <x v="73"/>
    <d v="2025-03-16T00:00:00"/>
    <x v="0"/>
    <x v="3"/>
    <x v="1"/>
    <x v="0"/>
    <x v="21"/>
    <x v="3"/>
    <x v="10"/>
    <x v="0"/>
  </r>
  <r>
    <x v="2004"/>
    <x v="6"/>
    <x v="12"/>
    <n v="41.3"/>
    <x v="1537"/>
    <x v="73"/>
    <d v="2025-03-17T00:00:00"/>
    <x v="2"/>
    <x v="3"/>
    <x v="2"/>
    <x v="0"/>
    <x v="1"/>
    <x v="1"/>
    <x v="10"/>
    <x v="2"/>
  </r>
  <r>
    <x v="2005"/>
    <x v="8"/>
    <x v="1"/>
    <n v="15.3"/>
    <x v="1538"/>
    <x v="73"/>
    <d v="2025-03-18T00:00:00"/>
    <x v="0"/>
    <x v="2"/>
    <x v="2"/>
    <x v="0"/>
    <x v="1"/>
    <x v="2"/>
    <x v="10"/>
    <x v="0"/>
  </r>
  <r>
    <x v="2006"/>
    <x v="1"/>
    <x v="0"/>
    <n v="54.6"/>
    <x v="1539"/>
    <x v="73"/>
    <d v="2025-03-17T00:00:00"/>
    <x v="1"/>
    <x v="1"/>
    <x v="1"/>
    <x v="0"/>
    <x v="2"/>
    <x v="1"/>
    <x v="10"/>
    <x v="1"/>
  </r>
  <r>
    <x v="2007"/>
    <x v="8"/>
    <x v="0"/>
    <n v="15.9"/>
    <x v="1021"/>
    <x v="73"/>
    <d v="2025-03-16T00:00:00"/>
    <x v="1"/>
    <x v="0"/>
    <x v="1"/>
    <x v="0"/>
    <x v="22"/>
    <x v="3"/>
    <x v="10"/>
    <x v="1"/>
  </r>
  <r>
    <x v="2008"/>
    <x v="9"/>
    <x v="0"/>
    <n v="50.2"/>
    <x v="486"/>
    <x v="73"/>
    <d v="2025-03-17T00:00:00"/>
    <x v="2"/>
    <x v="3"/>
    <x v="2"/>
    <x v="0"/>
    <x v="34"/>
    <x v="1"/>
    <x v="10"/>
    <x v="2"/>
  </r>
  <r>
    <x v="2009"/>
    <x v="11"/>
    <x v="12"/>
    <n v="85.1"/>
    <x v="1540"/>
    <x v="73"/>
    <d v="2025-03-16T00:00:00"/>
    <x v="2"/>
    <x v="3"/>
    <x v="4"/>
    <x v="0"/>
    <x v="34"/>
    <x v="3"/>
    <x v="10"/>
    <x v="2"/>
  </r>
  <r>
    <x v="2010"/>
    <x v="11"/>
    <x v="1"/>
    <n v="41.4"/>
    <x v="1182"/>
    <x v="73"/>
    <d v="2025-03-16T00:00:00"/>
    <x v="2"/>
    <x v="0"/>
    <x v="2"/>
    <x v="0"/>
    <x v="3"/>
    <x v="3"/>
    <x v="10"/>
    <x v="2"/>
  </r>
  <r>
    <x v="2011"/>
    <x v="4"/>
    <x v="3"/>
    <n v="32.700000000000003"/>
    <x v="1541"/>
    <x v="73"/>
    <d v="2025-03-16T00:00:00"/>
    <x v="2"/>
    <x v="2"/>
    <x v="1"/>
    <x v="0"/>
    <x v="3"/>
    <x v="3"/>
    <x v="10"/>
    <x v="2"/>
  </r>
  <r>
    <x v="2012"/>
    <x v="4"/>
    <x v="1"/>
    <n v="41.6"/>
    <x v="707"/>
    <x v="73"/>
    <d v="2025-03-17T00:00:00"/>
    <x v="1"/>
    <x v="4"/>
    <x v="1"/>
    <x v="0"/>
    <x v="3"/>
    <x v="1"/>
    <x v="10"/>
    <x v="1"/>
  </r>
  <r>
    <x v="2013"/>
    <x v="5"/>
    <x v="12"/>
    <n v="64.8"/>
    <x v="629"/>
    <x v="73"/>
    <d v="2025-03-16T00:00:00"/>
    <x v="0"/>
    <x v="2"/>
    <x v="0"/>
    <x v="0"/>
    <x v="3"/>
    <x v="3"/>
    <x v="10"/>
    <x v="0"/>
  </r>
  <r>
    <x v="2014"/>
    <x v="15"/>
    <x v="1"/>
    <n v="33.6"/>
    <x v="863"/>
    <x v="73"/>
    <d v="2025-03-16T00:00:00"/>
    <x v="1"/>
    <x v="0"/>
    <x v="2"/>
    <x v="0"/>
    <x v="3"/>
    <x v="3"/>
    <x v="10"/>
    <x v="1"/>
  </r>
  <r>
    <x v="2015"/>
    <x v="6"/>
    <x v="2"/>
    <n v="100.7"/>
    <x v="1542"/>
    <x v="73"/>
    <d v="2025-03-16T00:00:00"/>
    <x v="0"/>
    <x v="1"/>
    <x v="0"/>
    <x v="0"/>
    <x v="3"/>
    <x v="3"/>
    <x v="10"/>
    <x v="0"/>
  </r>
  <r>
    <x v="2016"/>
    <x v="4"/>
    <x v="1"/>
    <n v="49.3"/>
    <x v="1543"/>
    <x v="74"/>
    <d v="2025-03-18T00:00:00"/>
    <x v="2"/>
    <x v="4"/>
    <x v="2"/>
    <x v="0"/>
    <x v="3"/>
    <x v="1"/>
    <x v="11"/>
    <x v="2"/>
  </r>
  <r>
    <x v="2017"/>
    <x v="2"/>
    <x v="13"/>
    <n v="97"/>
    <x v="1544"/>
    <x v="74"/>
    <d v="2025-03-19T00:00:00"/>
    <x v="1"/>
    <x v="2"/>
    <x v="2"/>
    <x v="0"/>
    <x v="3"/>
    <x v="2"/>
    <x v="11"/>
    <x v="1"/>
  </r>
  <r>
    <x v="2018"/>
    <x v="0"/>
    <x v="13"/>
    <n v="25.2"/>
    <x v="277"/>
    <x v="74"/>
    <d v="2025-03-19T00:00:00"/>
    <x v="2"/>
    <x v="4"/>
    <x v="2"/>
    <x v="0"/>
    <x v="3"/>
    <x v="2"/>
    <x v="11"/>
    <x v="2"/>
  </r>
  <r>
    <x v="2019"/>
    <x v="0"/>
    <x v="5"/>
    <n v="12.2"/>
    <x v="1545"/>
    <x v="74"/>
    <d v="2025-03-17T00:00:00"/>
    <x v="0"/>
    <x v="0"/>
    <x v="1"/>
    <x v="0"/>
    <x v="3"/>
    <x v="3"/>
    <x v="11"/>
    <x v="0"/>
  </r>
  <r>
    <x v="2020"/>
    <x v="8"/>
    <x v="3"/>
    <n v="38.799999999999997"/>
    <x v="1546"/>
    <x v="74"/>
    <d v="2025-03-18T00:00:00"/>
    <x v="2"/>
    <x v="1"/>
    <x v="1"/>
    <x v="0"/>
    <x v="23"/>
    <x v="1"/>
    <x v="11"/>
    <x v="2"/>
  </r>
  <r>
    <x v="2021"/>
    <x v="2"/>
    <x v="12"/>
    <n v="53.2"/>
    <x v="1547"/>
    <x v="74"/>
    <d v="2025-03-17T00:00:00"/>
    <x v="1"/>
    <x v="0"/>
    <x v="2"/>
    <x v="0"/>
    <x v="8"/>
    <x v="3"/>
    <x v="11"/>
    <x v="1"/>
  </r>
  <r>
    <x v="2022"/>
    <x v="6"/>
    <x v="3"/>
    <n v="151"/>
    <x v="1548"/>
    <x v="74"/>
    <d v="2025-03-17T00:00:00"/>
    <x v="3"/>
    <x v="1"/>
    <x v="1"/>
    <x v="0"/>
    <x v="8"/>
    <x v="3"/>
    <x v="11"/>
    <x v="3"/>
  </r>
  <r>
    <x v="2023"/>
    <x v="1"/>
    <x v="1"/>
    <n v="37.1"/>
    <x v="1314"/>
    <x v="74"/>
    <d v="2025-03-17T00:00:00"/>
    <x v="2"/>
    <x v="4"/>
    <x v="0"/>
    <x v="0"/>
    <x v="8"/>
    <x v="3"/>
    <x v="11"/>
    <x v="2"/>
  </r>
  <r>
    <x v="2024"/>
    <x v="5"/>
    <x v="1"/>
    <n v="38.9"/>
    <x v="482"/>
    <x v="74"/>
    <d v="2025-03-17T00:00:00"/>
    <x v="1"/>
    <x v="4"/>
    <x v="0"/>
    <x v="0"/>
    <x v="8"/>
    <x v="3"/>
    <x v="11"/>
    <x v="1"/>
  </r>
  <r>
    <x v="2025"/>
    <x v="10"/>
    <x v="1"/>
    <n v="35.200000000000003"/>
    <x v="1549"/>
    <x v="74"/>
    <d v="2025-03-17T00:00:00"/>
    <x v="1"/>
    <x v="0"/>
    <x v="2"/>
    <x v="0"/>
    <x v="17"/>
    <x v="3"/>
    <x v="11"/>
    <x v="1"/>
  </r>
  <r>
    <x v="2026"/>
    <x v="0"/>
    <x v="1"/>
    <n v="22.3"/>
    <x v="225"/>
    <x v="74"/>
    <d v="2025-03-18T00:00:00"/>
    <x v="2"/>
    <x v="1"/>
    <x v="0"/>
    <x v="0"/>
    <x v="9"/>
    <x v="1"/>
    <x v="11"/>
    <x v="2"/>
  </r>
  <r>
    <x v="2027"/>
    <x v="9"/>
    <x v="0"/>
    <n v="43.3"/>
    <x v="1286"/>
    <x v="74"/>
    <d v="2025-03-19T00:00:00"/>
    <x v="2"/>
    <x v="0"/>
    <x v="2"/>
    <x v="0"/>
    <x v="11"/>
    <x v="2"/>
    <x v="11"/>
    <x v="2"/>
  </r>
  <r>
    <x v="2028"/>
    <x v="6"/>
    <x v="13"/>
    <n v="75.900000000000006"/>
    <x v="1550"/>
    <x v="74"/>
    <d v="2025-03-22T00:00:00"/>
    <x v="1"/>
    <x v="0"/>
    <x v="0"/>
    <x v="0"/>
    <x v="11"/>
    <x v="4"/>
    <x v="11"/>
    <x v="1"/>
  </r>
  <r>
    <x v="2029"/>
    <x v="6"/>
    <x v="2"/>
    <n v="78.7"/>
    <x v="1551"/>
    <x v="74"/>
    <d v="2025-03-20T00:00:00"/>
    <x v="2"/>
    <x v="2"/>
    <x v="1"/>
    <x v="0"/>
    <x v="11"/>
    <x v="5"/>
    <x v="11"/>
    <x v="2"/>
  </r>
  <r>
    <x v="2030"/>
    <x v="1"/>
    <x v="0"/>
    <n v="66.3"/>
    <x v="1124"/>
    <x v="74"/>
    <d v="2025-03-20T00:00:00"/>
    <x v="2"/>
    <x v="0"/>
    <x v="2"/>
    <x v="0"/>
    <x v="19"/>
    <x v="5"/>
    <x v="11"/>
    <x v="2"/>
  </r>
  <r>
    <x v="2031"/>
    <x v="8"/>
    <x v="1"/>
    <n v="33.6"/>
    <x v="863"/>
    <x v="74"/>
    <d v="2025-03-16T00:00:00"/>
    <x v="1"/>
    <x v="0"/>
    <x v="1"/>
    <x v="0"/>
    <x v="19"/>
    <x v="7"/>
    <x v="11"/>
    <x v="1"/>
  </r>
  <r>
    <x v="2032"/>
    <x v="2"/>
    <x v="3"/>
    <n v="61.4"/>
    <x v="1552"/>
    <x v="74"/>
    <d v="2025-03-17T00:00:00"/>
    <x v="1"/>
    <x v="4"/>
    <x v="0"/>
    <x v="0"/>
    <x v="19"/>
    <x v="3"/>
    <x v="11"/>
    <x v="1"/>
  </r>
  <r>
    <x v="2033"/>
    <x v="8"/>
    <x v="1"/>
    <n v="17.5"/>
    <x v="1553"/>
    <x v="74"/>
    <d v="2025-03-19T00:00:00"/>
    <x v="2"/>
    <x v="0"/>
    <x v="0"/>
    <x v="0"/>
    <x v="21"/>
    <x v="2"/>
    <x v="11"/>
    <x v="2"/>
  </r>
  <r>
    <x v="2034"/>
    <x v="8"/>
    <x v="1"/>
    <n v="32.5"/>
    <x v="891"/>
    <x v="74"/>
    <d v="2025-03-19T00:00:00"/>
    <x v="2"/>
    <x v="1"/>
    <x v="0"/>
    <x v="0"/>
    <x v="21"/>
    <x v="2"/>
    <x v="11"/>
    <x v="2"/>
  </r>
  <r>
    <x v="2035"/>
    <x v="4"/>
    <x v="0"/>
    <n v="34.6"/>
    <x v="169"/>
    <x v="74"/>
    <d v="2025-03-17T00:00:00"/>
    <x v="2"/>
    <x v="4"/>
    <x v="0"/>
    <x v="0"/>
    <x v="21"/>
    <x v="3"/>
    <x v="11"/>
    <x v="2"/>
  </r>
  <r>
    <x v="2036"/>
    <x v="2"/>
    <x v="0"/>
    <n v="75.900000000000006"/>
    <x v="1554"/>
    <x v="74"/>
    <d v="2025-03-16T00:00:00"/>
    <x v="1"/>
    <x v="1"/>
    <x v="2"/>
    <x v="0"/>
    <x v="21"/>
    <x v="7"/>
    <x v="11"/>
    <x v="1"/>
  </r>
  <r>
    <x v="2037"/>
    <x v="1"/>
    <x v="2"/>
    <n v="42.1"/>
    <x v="1555"/>
    <x v="74"/>
    <d v="2025-03-19T00:00:00"/>
    <x v="1"/>
    <x v="1"/>
    <x v="1"/>
    <x v="0"/>
    <x v="21"/>
    <x v="2"/>
    <x v="11"/>
    <x v="1"/>
  </r>
  <r>
    <x v="2038"/>
    <x v="7"/>
    <x v="2"/>
    <n v="65.3"/>
    <x v="243"/>
    <x v="74"/>
    <d v="2025-03-23T00:00:00"/>
    <x v="1"/>
    <x v="0"/>
    <x v="0"/>
    <x v="0"/>
    <x v="1"/>
    <x v="6"/>
    <x v="11"/>
    <x v="1"/>
  </r>
  <r>
    <x v="2039"/>
    <x v="15"/>
    <x v="0"/>
    <n v="20.6"/>
    <x v="1500"/>
    <x v="74"/>
    <d v="2025-03-19T00:00:00"/>
    <x v="1"/>
    <x v="3"/>
    <x v="0"/>
    <x v="0"/>
    <x v="42"/>
    <x v="2"/>
    <x v="11"/>
    <x v="1"/>
  </r>
  <r>
    <x v="2040"/>
    <x v="8"/>
    <x v="3"/>
    <n v="16.5"/>
    <x v="100"/>
    <x v="74"/>
    <d v="2025-03-17T00:00:00"/>
    <x v="1"/>
    <x v="1"/>
    <x v="1"/>
    <x v="0"/>
    <x v="2"/>
    <x v="3"/>
    <x v="11"/>
    <x v="1"/>
  </r>
  <r>
    <x v="2041"/>
    <x v="16"/>
    <x v="7"/>
    <n v="36.200000000000003"/>
    <x v="1556"/>
    <x v="74"/>
    <d v="2025-03-18T00:00:00"/>
    <x v="1"/>
    <x v="0"/>
    <x v="2"/>
    <x v="0"/>
    <x v="2"/>
    <x v="1"/>
    <x v="11"/>
    <x v="1"/>
  </r>
  <r>
    <x v="2042"/>
    <x v="6"/>
    <x v="0"/>
    <n v="53.2"/>
    <x v="1557"/>
    <x v="74"/>
    <d v="2025-03-17T00:00:00"/>
    <x v="2"/>
    <x v="0"/>
    <x v="1"/>
    <x v="0"/>
    <x v="22"/>
    <x v="3"/>
    <x v="11"/>
    <x v="2"/>
  </r>
  <r>
    <x v="2043"/>
    <x v="2"/>
    <x v="21"/>
    <n v="176"/>
    <x v="1558"/>
    <x v="74"/>
    <d v="2025-03-17T00:00:00"/>
    <x v="2"/>
    <x v="0"/>
    <x v="1"/>
    <x v="0"/>
    <x v="3"/>
    <x v="3"/>
    <x v="11"/>
    <x v="2"/>
  </r>
  <r>
    <x v="2044"/>
    <x v="1"/>
    <x v="0"/>
    <n v="52.4"/>
    <x v="1559"/>
    <x v="74"/>
    <d v="2025-03-17T00:00:00"/>
    <x v="1"/>
    <x v="1"/>
    <x v="0"/>
    <x v="0"/>
    <x v="3"/>
    <x v="3"/>
    <x v="11"/>
    <x v="1"/>
  </r>
  <r>
    <x v="2045"/>
    <x v="10"/>
    <x v="2"/>
    <n v="48.2"/>
    <x v="1435"/>
    <x v="74"/>
    <d v="2025-03-17T00:00:00"/>
    <x v="2"/>
    <x v="1"/>
    <x v="2"/>
    <x v="0"/>
    <x v="3"/>
    <x v="3"/>
    <x v="11"/>
    <x v="2"/>
  </r>
  <r>
    <x v="2046"/>
    <x v="15"/>
    <x v="0"/>
    <n v="51.6"/>
    <x v="937"/>
    <x v="74"/>
    <d v="2025-03-20T00:00:00"/>
    <x v="2"/>
    <x v="2"/>
    <x v="1"/>
    <x v="0"/>
    <x v="3"/>
    <x v="5"/>
    <x v="11"/>
    <x v="2"/>
  </r>
  <r>
    <x v="2047"/>
    <x v="0"/>
    <x v="12"/>
    <n v="33.700000000000003"/>
    <x v="1093"/>
    <x v="75"/>
    <d v="2025-03-18T00:00:00"/>
    <x v="1"/>
    <x v="0"/>
    <x v="0"/>
    <x v="0"/>
    <x v="3"/>
    <x v="3"/>
    <x v="11"/>
    <x v="1"/>
  </r>
  <r>
    <x v="2048"/>
    <x v="4"/>
    <x v="7"/>
    <n v="36.299999999999997"/>
    <x v="1560"/>
    <x v="75"/>
    <d v="2025-03-19T00:00:00"/>
    <x v="2"/>
    <x v="4"/>
    <x v="1"/>
    <x v="0"/>
    <x v="3"/>
    <x v="1"/>
    <x v="11"/>
    <x v="2"/>
  </r>
  <r>
    <x v="2049"/>
    <x v="8"/>
    <x v="0"/>
    <n v="23.4"/>
    <x v="1561"/>
    <x v="75"/>
    <d v="2025-03-22T00:00:00"/>
    <x v="2"/>
    <x v="1"/>
    <x v="2"/>
    <x v="0"/>
    <x v="3"/>
    <x v="0"/>
    <x v="11"/>
    <x v="2"/>
  </r>
  <r>
    <x v="2050"/>
    <x v="15"/>
    <x v="8"/>
    <n v="56.6"/>
    <x v="1562"/>
    <x v="75"/>
    <d v="2025-03-19T00:00:00"/>
    <x v="2"/>
    <x v="1"/>
    <x v="0"/>
    <x v="0"/>
    <x v="3"/>
    <x v="1"/>
    <x v="11"/>
    <x v="2"/>
  </r>
  <r>
    <x v="2051"/>
    <x v="15"/>
    <x v="1"/>
    <n v="26.8"/>
    <x v="1563"/>
    <x v="75"/>
    <d v="2025-03-18T00:00:00"/>
    <x v="1"/>
    <x v="0"/>
    <x v="0"/>
    <x v="0"/>
    <x v="4"/>
    <x v="3"/>
    <x v="11"/>
    <x v="1"/>
  </r>
  <r>
    <x v="2052"/>
    <x v="0"/>
    <x v="2"/>
    <n v="11.3"/>
    <x v="1564"/>
    <x v="75"/>
    <d v="2025-03-19T00:00:00"/>
    <x v="1"/>
    <x v="2"/>
    <x v="0"/>
    <x v="0"/>
    <x v="25"/>
    <x v="1"/>
    <x v="11"/>
    <x v="1"/>
  </r>
  <r>
    <x v="2053"/>
    <x v="6"/>
    <x v="2"/>
    <n v="60.1"/>
    <x v="1565"/>
    <x v="75"/>
    <d v="2025-03-20T00:00:00"/>
    <x v="2"/>
    <x v="0"/>
    <x v="0"/>
    <x v="0"/>
    <x v="7"/>
    <x v="2"/>
    <x v="11"/>
    <x v="2"/>
  </r>
  <r>
    <x v="2054"/>
    <x v="0"/>
    <x v="5"/>
    <n v="27.7"/>
    <x v="1566"/>
    <x v="75"/>
    <d v="2025-03-22T00:00:00"/>
    <x v="2"/>
    <x v="0"/>
    <x v="0"/>
    <x v="0"/>
    <x v="8"/>
    <x v="0"/>
    <x v="11"/>
    <x v="2"/>
  </r>
  <r>
    <x v="2055"/>
    <x v="15"/>
    <x v="0"/>
    <n v="71.400000000000006"/>
    <x v="660"/>
    <x v="75"/>
    <d v="2025-03-20T00:00:00"/>
    <x v="1"/>
    <x v="0"/>
    <x v="2"/>
    <x v="0"/>
    <x v="8"/>
    <x v="2"/>
    <x v="11"/>
    <x v="1"/>
  </r>
  <r>
    <x v="2056"/>
    <x v="2"/>
    <x v="1"/>
    <n v="66.7"/>
    <x v="1567"/>
    <x v="75"/>
    <d v="2025-03-18T00:00:00"/>
    <x v="2"/>
    <x v="0"/>
    <x v="2"/>
    <x v="0"/>
    <x v="8"/>
    <x v="3"/>
    <x v="11"/>
    <x v="2"/>
  </r>
  <r>
    <x v="2057"/>
    <x v="13"/>
    <x v="9"/>
    <n v="39.1"/>
    <x v="1568"/>
    <x v="75"/>
    <d v="2025-03-18T00:00:00"/>
    <x v="2"/>
    <x v="0"/>
    <x v="0"/>
    <x v="0"/>
    <x v="8"/>
    <x v="3"/>
    <x v="11"/>
    <x v="2"/>
  </r>
  <r>
    <x v="2058"/>
    <x v="8"/>
    <x v="12"/>
    <n v="24.9"/>
    <x v="1569"/>
    <x v="75"/>
    <d v="2025-03-22T00:00:00"/>
    <x v="1"/>
    <x v="1"/>
    <x v="2"/>
    <x v="0"/>
    <x v="8"/>
    <x v="0"/>
    <x v="11"/>
    <x v="1"/>
  </r>
  <r>
    <x v="2059"/>
    <x v="5"/>
    <x v="9"/>
    <n v="29.2"/>
    <x v="1570"/>
    <x v="75"/>
    <d v="2025-03-18T00:00:00"/>
    <x v="1"/>
    <x v="0"/>
    <x v="2"/>
    <x v="0"/>
    <x v="17"/>
    <x v="3"/>
    <x v="11"/>
    <x v="1"/>
  </r>
  <r>
    <x v="2060"/>
    <x v="13"/>
    <x v="21"/>
    <n v="28.3"/>
    <x v="1571"/>
    <x v="75"/>
    <d v="2025-03-19T00:00:00"/>
    <x v="2"/>
    <x v="1"/>
    <x v="0"/>
    <x v="0"/>
    <x v="11"/>
    <x v="1"/>
    <x v="11"/>
    <x v="2"/>
  </r>
  <r>
    <x v="2061"/>
    <x v="9"/>
    <x v="2"/>
    <n v="37.799999999999997"/>
    <x v="1413"/>
    <x v="75"/>
    <d v="2025-03-18T00:00:00"/>
    <x v="2"/>
    <x v="0"/>
    <x v="1"/>
    <x v="0"/>
    <x v="11"/>
    <x v="3"/>
    <x v="11"/>
    <x v="2"/>
  </r>
  <r>
    <x v="2062"/>
    <x v="14"/>
    <x v="3"/>
    <n v="28.1"/>
    <x v="1572"/>
    <x v="75"/>
    <d v="2025-03-23T00:00:00"/>
    <x v="2"/>
    <x v="2"/>
    <x v="0"/>
    <x v="0"/>
    <x v="11"/>
    <x v="4"/>
    <x v="11"/>
    <x v="2"/>
  </r>
  <r>
    <x v="2063"/>
    <x v="1"/>
    <x v="2"/>
    <n v="59.7"/>
    <x v="1573"/>
    <x v="75"/>
    <d v="2025-03-19T00:00:00"/>
    <x v="2"/>
    <x v="2"/>
    <x v="0"/>
    <x v="0"/>
    <x v="11"/>
    <x v="1"/>
    <x v="11"/>
    <x v="2"/>
  </r>
  <r>
    <x v="2064"/>
    <x v="16"/>
    <x v="0"/>
    <n v="71.900000000000006"/>
    <x v="1574"/>
    <x v="75"/>
    <d v="2025-03-18T00:00:00"/>
    <x v="1"/>
    <x v="1"/>
    <x v="1"/>
    <x v="0"/>
    <x v="11"/>
    <x v="3"/>
    <x v="11"/>
    <x v="1"/>
  </r>
  <r>
    <x v="2065"/>
    <x v="1"/>
    <x v="1"/>
    <n v="56.9"/>
    <x v="1575"/>
    <x v="75"/>
    <d v="2025-03-18T00:00:00"/>
    <x v="1"/>
    <x v="2"/>
    <x v="0"/>
    <x v="0"/>
    <x v="13"/>
    <x v="3"/>
    <x v="11"/>
    <x v="1"/>
  </r>
  <r>
    <x v="2066"/>
    <x v="8"/>
    <x v="1"/>
    <n v="15.8"/>
    <x v="35"/>
    <x v="75"/>
    <d v="2025-03-20T00:00:00"/>
    <x v="2"/>
    <x v="2"/>
    <x v="1"/>
    <x v="0"/>
    <x v="1"/>
    <x v="2"/>
    <x v="11"/>
    <x v="2"/>
  </r>
  <r>
    <x v="2067"/>
    <x v="11"/>
    <x v="12"/>
    <n v="61.7"/>
    <x v="1576"/>
    <x v="75"/>
    <d v="2025-03-19T00:00:00"/>
    <x v="2"/>
    <x v="2"/>
    <x v="0"/>
    <x v="0"/>
    <x v="22"/>
    <x v="1"/>
    <x v="11"/>
    <x v="2"/>
  </r>
  <r>
    <x v="2068"/>
    <x v="2"/>
    <x v="7"/>
    <n v="105.2"/>
    <x v="1577"/>
    <x v="75"/>
    <d v="2025-03-19T00:00:00"/>
    <x v="1"/>
    <x v="1"/>
    <x v="4"/>
    <x v="0"/>
    <x v="3"/>
    <x v="1"/>
    <x v="11"/>
    <x v="1"/>
  </r>
  <r>
    <x v="2069"/>
    <x v="0"/>
    <x v="1"/>
    <n v="17"/>
    <x v="1222"/>
    <x v="75"/>
    <d v="2025-03-19T00:00:00"/>
    <x v="2"/>
    <x v="2"/>
    <x v="0"/>
    <x v="0"/>
    <x v="3"/>
    <x v="1"/>
    <x v="11"/>
    <x v="2"/>
  </r>
  <r>
    <x v="2070"/>
    <x v="6"/>
    <x v="2"/>
    <n v="84.1"/>
    <x v="1578"/>
    <x v="75"/>
    <d v="2025-03-18T00:00:00"/>
    <x v="1"/>
    <x v="2"/>
    <x v="0"/>
    <x v="0"/>
    <x v="3"/>
    <x v="3"/>
    <x v="11"/>
    <x v="1"/>
  </r>
  <r>
    <x v="2071"/>
    <x v="3"/>
    <x v="12"/>
    <n v="59.5"/>
    <x v="1248"/>
    <x v="75"/>
    <d v="2025-03-22T00:00:00"/>
    <x v="1"/>
    <x v="0"/>
    <x v="2"/>
    <x v="0"/>
    <x v="3"/>
    <x v="0"/>
    <x v="11"/>
    <x v="1"/>
  </r>
  <r>
    <x v="2072"/>
    <x v="8"/>
    <x v="1"/>
    <n v="57.5"/>
    <x v="1579"/>
    <x v="75"/>
    <d v="2025-03-19T00:00:00"/>
    <x v="1"/>
    <x v="1"/>
    <x v="2"/>
    <x v="0"/>
    <x v="3"/>
    <x v="1"/>
    <x v="11"/>
    <x v="1"/>
  </r>
  <r>
    <x v="2073"/>
    <x v="8"/>
    <x v="0"/>
    <n v="34.299999999999997"/>
    <x v="1580"/>
    <x v="75"/>
    <d v="2025-03-18T00:00:00"/>
    <x v="2"/>
    <x v="4"/>
    <x v="2"/>
    <x v="0"/>
    <x v="3"/>
    <x v="3"/>
    <x v="11"/>
    <x v="2"/>
  </r>
  <r>
    <x v="2074"/>
    <x v="5"/>
    <x v="1"/>
    <n v="27.8"/>
    <x v="1581"/>
    <x v="76"/>
    <d v="2025-03-20T00:00:00"/>
    <x v="2"/>
    <x v="0"/>
    <x v="0"/>
    <x v="0"/>
    <x v="3"/>
    <x v="1"/>
    <x v="11"/>
    <x v="2"/>
  </r>
  <r>
    <x v="2075"/>
    <x v="12"/>
    <x v="1"/>
    <n v="85"/>
    <x v="393"/>
    <x v="76"/>
    <d v="2025-03-18T00:00:00"/>
    <x v="1"/>
    <x v="2"/>
    <x v="2"/>
    <x v="0"/>
    <x v="3"/>
    <x v="7"/>
    <x v="11"/>
    <x v="1"/>
  </r>
  <r>
    <x v="2076"/>
    <x v="6"/>
    <x v="1"/>
    <n v="95"/>
    <x v="1582"/>
    <x v="76"/>
    <d v="2025-03-20T00:00:00"/>
    <x v="2"/>
    <x v="0"/>
    <x v="0"/>
    <x v="0"/>
    <x v="3"/>
    <x v="1"/>
    <x v="11"/>
    <x v="2"/>
  </r>
  <r>
    <x v="2077"/>
    <x v="16"/>
    <x v="1"/>
    <n v="32"/>
    <x v="34"/>
    <x v="76"/>
    <d v="2025-03-20T00:00:00"/>
    <x v="1"/>
    <x v="0"/>
    <x v="1"/>
    <x v="0"/>
    <x v="3"/>
    <x v="1"/>
    <x v="11"/>
    <x v="1"/>
  </r>
  <r>
    <x v="2078"/>
    <x v="2"/>
    <x v="1"/>
    <n v="65.2"/>
    <x v="1583"/>
    <x v="76"/>
    <d v="2025-03-19T00:00:00"/>
    <x v="2"/>
    <x v="1"/>
    <x v="0"/>
    <x v="0"/>
    <x v="3"/>
    <x v="3"/>
    <x v="11"/>
    <x v="2"/>
  </r>
  <r>
    <x v="2079"/>
    <x v="17"/>
    <x v="12"/>
    <n v="22"/>
    <x v="1155"/>
    <x v="76"/>
    <d v="2025-03-19T00:00:00"/>
    <x v="1"/>
    <x v="1"/>
    <x v="2"/>
    <x v="0"/>
    <x v="3"/>
    <x v="3"/>
    <x v="11"/>
    <x v="1"/>
  </r>
  <r>
    <x v="2080"/>
    <x v="15"/>
    <x v="2"/>
    <n v="69.400000000000006"/>
    <x v="140"/>
    <x v="76"/>
    <d v="2025-03-21T00:00:00"/>
    <x v="1"/>
    <x v="1"/>
    <x v="2"/>
    <x v="0"/>
    <x v="3"/>
    <x v="2"/>
    <x v="11"/>
    <x v="1"/>
  </r>
  <r>
    <x v="2081"/>
    <x v="10"/>
    <x v="13"/>
    <n v="31.5"/>
    <x v="620"/>
    <x v="76"/>
    <d v="2025-03-20T00:00:00"/>
    <x v="2"/>
    <x v="0"/>
    <x v="2"/>
    <x v="0"/>
    <x v="3"/>
    <x v="1"/>
    <x v="11"/>
    <x v="2"/>
  </r>
  <r>
    <x v="2082"/>
    <x v="6"/>
    <x v="0"/>
    <n v="45.8"/>
    <x v="494"/>
    <x v="76"/>
    <d v="2025-03-22T00:00:00"/>
    <x v="3"/>
    <x v="0"/>
    <x v="0"/>
    <x v="0"/>
    <x v="3"/>
    <x v="5"/>
    <x v="11"/>
    <x v="3"/>
  </r>
  <r>
    <x v="2083"/>
    <x v="19"/>
    <x v="12"/>
    <n v="12.8"/>
    <x v="180"/>
    <x v="76"/>
    <d v="2025-03-25T00:00:00"/>
    <x v="2"/>
    <x v="1"/>
    <x v="1"/>
    <x v="0"/>
    <x v="5"/>
    <x v="6"/>
    <x v="11"/>
    <x v="2"/>
  </r>
  <r>
    <x v="2084"/>
    <x v="5"/>
    <x v="2"/>
    <n v="115.3"/>
    <x v="1584"/>
    <x v="76"/>
    <d v="2025-03-19T00:00:00"/>
    <x v="2"/>
    <x v="2"/>
    <x v="2"/>
    <x v="0"/>
    <x v="6"/>
    <x v="3"/>
    <x v="11"/>
    <x v="2"/>
  </r>
  <r>
    <x v="2085"/>
    <x v="5"/>
    <x v="1"/>
    <n v="85"/>
    <x v="393"/>
    <x v="76"/>
    <d v="2025-03-20T00:00:00"/>
    <x v="2"/>
    <x v="1"/>
    <x v="0"/>
    <x v="0"/>
    <x v="7"/>
    <x v="1"/>
    <x v="11"/>
    <x v="2"/>
  </r>
  <r>
    <x v="2086"/>
    <x v="8"/>
    <x v="2"/>
    <n v="56.6"/>
    <x v="1026"/>
    <x v="76"/>
    <d v="2025-03-19T00:00:00"/>
    <x v="2"/>
    <x v="1"/>
    <x v="2"/>
    <x v="0"/>
    <x v="7"/>
    <x v="3"/>
    <x v="11"/>
    <x v="2"/>
  </r>
  <r>
    <x v="2087"/>
    <x v="15"/>
    <x v="6"/>
    <n v="46.3"/>
    <x v="1585"/>
    <x v="76"/>
    <d v="2025-03-21T00:00:00"/>
    <x v="1"/>
    <x v="0"/>
    <x v="0"/>
    <x v="0"/>
    <x v="7"/>
    <x v="2"/>
    <x v="11"/>
    <x v="1"/>
  </r>
  <r>
    <x v="2088"/>
    <x v="14"/>
    <x v="12"/>
    <n v="23"/>
    <x v="988"/>
    <x v="76"/>
    <d v="2025-03-22T00:00:00"/>
    <x v="1"/>
    <x v="3"/>
    <x v="2"/>
    <x v="0"/>
    <x v="7"/>
    <x v="5"/>
    <x v="11"/>
    <x v="1"/>
  </r>
  <r>
    <x v="2089"/>
    <x v="8"/>
    <x v="13"/>
    <n v="42.1"/>
    <x v="1586"/>
    <x v="76"/>
    <d v="2025-03-20T00:00:00"/>
    <x v="1"/>
    <x v="4"/>
    <x v="0"/>
    <x v="0"/>
    <x v="8"/>
    <x v="1"/>
    <x v="11"/>
    <x v="1"/>
  </r>
  <r>
    <x v="2090"/>
    <x v="5"/>
    <x v="3"/>
    <n v="57.4"/>
    <x v="1587"/>
    <x v="76"/>
    <d v="2025-03-22T00:00:00"/>
    <x v="2"/>
    <x v="1"/>
    <x v="4"/>
    <x v="0"/>
    <x v="8"/>
    <x v="5"/>
    <x v="11"/>
    <x v="2"/>
  </r>
  <r>
    <x v="2091"/>
    <x v="0"/>
    <x v="13"/>
    <n v="13.2"/>
    <x v="1113"/>
    <x v="76"/>
    <d v="2025-03-22T00:00:00"/>
    <x v="1"/>
    <x v="2"/>
    <x v="0"/>
    <x v="0"/>
    <x v="8"/>
    <x v="5"/>
    <x v="11"/>
    <x v="1"/>
  </r>
  <r>
    <x v="2092"/>
    <x v="6"/>
    <x v="2"/>
    <n v="52.3"/>
    <x v="1588"/>
    <x v="76"/>
    <d v="2025-03-19T00:00:00"/>
    <x v="1"/>
    <x v="1"/>
    <x v="0"/>
    <x v="0"/>
    <x v="8"/>
    <x v="3"/>
    <x v="11"/>
    <x v="1"/>
  </r>
  <r>
    <x v="2093"/>
    <x v="8"/>
    <x v="1"/>
    <n v="15.7"/>
    <x v="1323"/>
    <x v="76"/>
    <d v="2025-03-21T00:00:00"/>
    <x v="1"/>
    <x v="1"/>
    <x v="2"/>
    <x v="0"/>
    <x v="8"/>
    <x v="2"/>
    <x v="11"/>
    <x v="1"/>
  </r>
  <r>
    <x v="2094"/>
    <x v="7"/>
    <x v="2"/>
    <n v="35"/>
    <x v="211"/>
    <x v="76"/>
    <d v="2025-03-21T00:00:00"/>
    <x v="2"/>
    <x v="1"/>
    <x v="2"/>
    <x v="0"/>
    <x v="9"/>
    <x v="2"/>
    <x v="11"/>
    <x v="2"/>
  </r>
  <r>
    <x v="2095"/>
    <x v="4"/>
    <x v="2"/>
    <n v="26.6"/>
    <x v="1589"/>
    <x v="76"/>
    <d v="2025-03-18T00:00:00"/>
    <x v="1"/>
    <x v="1"/>
    <x v="2"/>
    <x v="0"/>
    <x v="11"/>
    <x v="7"/>
    <x v="11"/>
    <x v="1"/>
  </r>
  <r>
    <x v="2096"/>
    <x v="4"/>
    <x v="8"/>
    <n v="47.9"/>
    <x v="1590"/>
    <x v="77"/>
    <d v="2025-03-20T00:00:00"/>
    <x v="2"/>
    <x v="3"/>
    <x v="2"/>
    <x v="0"/>
    <x v="20"/>
    <x v="3"/>
    <x v="11"/>
    <x v="2"/>
  </r>
  <r>
    <x v="2097"/>
    <x v="5"/>
    <x v="0"/>
    <n v="80.099999999999994"/>
    <x v="1133"/>
    <x v="77"/>
    <d v="2025-03-20T00:00:00"/>
    <x v="1"/>
    <x v="2"/>
    <x v="0"/>
    <x v="0"/>
    <x v="21"/>
    <x v="3"/>
    <x v="11"/>
    <x v="1"/>
  </r>
  <r>
    <x v="2098"/>
    <x v="6"/>
    <x v="9"/>
    <n v="50.4"/>
    <x v="816"/>
    <x v="77"/>
    <d v="2025-03-20T00:00:00"/>
    <x v="1"/>
    <x v="1"/>
    <x v="2"/>
    <x v="0"/>
    <x v="21"/>
    <x v="3"/>
    <x v="11"/>
    <x v="1"/>
  </r>
  <r>
    <x v="2099"/>
    <x v="10"/>
    <x v="3"/>
    <n v="43.3"/>
    <x v="1591"/>
    <x v="77"/>
    <d v="2025-03-20T00:00:00"/>
    <x v="1"/>
    <x v="2"/>
    <x v="0"/>
    <x v="0"/>
    <x v="21"/>
    <x v="3"/>
    <x v="11"/>
    <x v="1"/>
  </r>
  <r>
    <x v="2100"/>
    <x v="10"/>
    <x v="12"/>
    <n v="57.5"/>
    <x v="984"/>
    <x v="77"/>
    <d v="2025-03-20T00:00:00"/>
    <x v="2"/>
    <x v="1"/>
    <x v="2"/>
    <x v="0"/>
    <x v="1"/>
    <x v="3"/>
    <x v="11"/>
    <x v="2"/>
  </r>
  <r>
    <x v="2101"/>
    <x v="9"/>
    <x v="15"/>
    <n v="24.8"/>
    <x v="1592"/>
    <x v="77"/>
    <d v="2025-03-20T00:00:00"/>
    <x v="1"/>
    <x v="0"/>
    <x v="0"/>
    <x v="0"/>
    <x v="57"/>
    <x v="3"/>
    <x v="11"/>
    <x v="1"/>
  </r>
  <r>
    <x v="2102"/>
    <x v="2"/>
    <x v="11"/>
    <n v="85.7"/>
    <x v="1593"/>
    <x v="77"/>
    <d v="2025-03-20T00:00:00"/>
    <x v="2"/>
    <x v="0"/>
    <x v="0"/>
    <x v="0"/>
    <x v="42"/>
    <x v="3"/>
    <x v="11"/>
    <x v="2"/>
  </r>
  <r>
    <x v="2103"/>
    <x v="7"/>
    <x v="0"/>
    <n v="47.1"/>
    <x v="392"/>
    <x v="77"/>
    <d v="2025-03-21T00:00:00"/>
    <x v="2"/>
    <x v="0"/>
    <x v="0"/>
    <x v="0"/>
    <x v="2"/>
    <x v="1"/>
    <x v="11"/>
    <x v="2"/>
  </r>
  <r>
    <x v="2104"/>
    <x v="5"/>
    <x v="7"/>
    <n v="83.2"/>
    <x v="1594"/>
    <x v="77"/>
    <d v="2025-03-23T00:00:00"/>
    <x v="2"/>
    <x v="0"/>
    <x v="0"/>
    <x v="0"/>
    <x v="33"/>
    <x v="5"/>
    <x v="11"/>
    <x v="2"/>
  </r>
  <r>
    <x v="2105"/>
    <x v="2"/>
    <x v="2"/>
    <n v="157"/>
    <x v="1595"/>
    <x v="77"/>
    <d v="2025-03-21T00:00:00"/>
    <x v="2"/>
    <x v="0"/>
    <x v="2"/>
    <x v="0"/>
    <x v="22"/>
    <x v="1"/>
    <x v="11"/>
    <x v="2"/>
  </r>
  <r>
    <x v="2106"/>
    <x v="16"/>
    <x v="12"/>
    <n v="33.700000000000003"/>
    <x v="1093"/>
    <x v="77"/>
    <d v="2025-03-20T00:00:00"/>
    <x v="1"/>
    <x v="2"/>
    <x v="2"/>
    <x v="0"/>
    <x v="22"/>
    <x v="3"/>
    <x v="11"/>
    <x v="1"/>
  </r>
  <r>
    <x v="2107"/>
    <x v="2"/>
    <x v="2"/>
    <n v="60.8"/>
    <x v="1596"/>
    <x v="77"/>
    <d v="2025-03-23T00:00:00"/>
    <x v="2"/>
    <x v="1"/>
    <x v="1"/>
    <x v="0"/>
    <x v="3"/>
    <x v="5"/>
    <x v="11"/>
    <x v="2"/>
  </r>
  <r>
    <x v="2108"/>
    <x v="7"/>
    <x v="0"/>
    <n v="57.6"/>
    <x v="636"/>
    <x v="77"/>
    <d v="2025-03-20T00:00:00"/>
    <x v="1"/>
    <x v="1"/>
    <x v="4"/>
    <x v="0"/>
    <x v="3"/>
    <x v="3"/>
    <x v="11"/>
    <x v="1"/>
  </r>
  <r>
    <x v="2109"/>
    <x v="10"/>
    <x v="0"/>
    <n v="32"/>
    <x v="109"/>
    <x v="77"/>
    <d v="2025-03-21T00:00:00"/>
    <x v="1"/>
    <x v="0"/>
    <x v="0"/>
    <x v="0"/>
    <x v="3"/>
    <x v="1"/>
    <x v="11"/>
    <x v="1"/>
  </r>
  <r>
    <x v="2110"/>
    <x v="10"/>
    <x v="12"/>
    <n v="23.5"/>
    <x v="255"/>
    <x v="77"/>
    <d v="2025-03-20T00:00:00"/>
    <x v="2"/>
    <x v="0"/>
    <x v="2"/>
    <x v="0"/>
    <x v="3"/>
    <x v="3"/>
    <x v="11"/>
    <x v="2"/>
  </r>
  <r>
    <x v="2111"/>
    <x v="12"/>
    <x v="2"/>
    <n v="44.8"/>
    <x v="1597"/>
    <x v="77"/>
    <d v="2025-03-20T00:00:00"/>
    <x v="3"/>
    <x v="4"/>
    <x v="0"/>
    <x v="0"/>
    <x v="3"/>
    <x v="3"/>
    <x v="11"/>
    <x v="3"/>
  </r>
  <r>
    <x v="2112"/>
    <x v="0"/>
    <x v="8"/>
    <n v="11.7"/>
    <x v="64"/>
    <x v="77"/>
    <d v="2025-03-20T00:00:00"/>
    <x v="1"/>
    <x v="2"/>
    <x v="2"/>
    <x v="0"/>
    <x v="3"/>
    <x v="3"/>
    <x v="11"/>
    <x v="1"/>
  </r>
  <r>
    <x v="2113"/>
    <x v="7"/>
    <x v="1"/>
    <n v="38.799999999999997"/>
    <x v="1598"/>
    <x v="77"/>
    <d v="2025-03-22T00:00:00"/>
    <x v="2"/>
    <x v="2"/>
    <x v="0"/>
    <x v="0"/>
    <x v="3"/>
    <x v="2"/>
    <x v="11"/>
    <x v="2"/>
  </r>
  <r>
    <x v="2114"/>
    <x v="5"/>
    <x v="21"/>
    <n v="86.9"/>
    <x v="1599"/>
    <x v="77"/>
    <d v="2025-03-24T00:00:00"/>
    <x v="2"/>
    <x v="1"/>
    <x v="0"/>
    <x v="0"/>
    <x v="3"/>
    <x v="0"/>
    <x v="11"/>
    <x v="2"/>
  </r>
  <r>
    <x v="2115"/>
    <x v="8"/>
    <x v="0"/>
    <n v="18.3"/>
    <x v="1600"/>
    <x v="77"/>
    <d v="2025-03-20T00:00:00"/>
    <x v="2"/>
    <x v="0"/>
    <x v="0"/>
    <x v="0"/>
    <x v="3"/>
    <x v="3"/>
    <x v="11"/>
    <x v="2"/>
  </r>
  <r>
    <x v="2116"/>
    <x v="5"/>
    <x v="0"/>
    <n v="47.5"/>
    <x v="1601"/>
    <x v="77"/>
    <d v="2025-03-23T00:00:00"/>
    <x v="1"/>
    <x v="4"/>
    <x v="2"/>
    <x v="0"/>
    <x v="3"/>
    <x v="5"/>
    <x v="11"/>
    <x v="1"/>
  </r>
  <r>
    <x v="2117"/>
    <x v="1"/>
    <x v="1"/>
    <n v="78.599999999999994"/>
    <x v="507"/>
    <x v="77"/>
    <d v="2025-03-20T00:00:00"/>
    <x v="1"/>
    <x v="2"/>
    <x v="2"/>
    <x v="0"/>
    <x v="3"/>
    <x v="3"/>
    <x v="11"/>
    <x v="1"/>
  </r>
  <r>
    <x v="2118"/>
    <x v="6"/>
    <x v="12"/>
    <n v="87.3"/>
    <x v="1602"/>
    <x v="77"/>
    <d v="2025-03-20T00:00:00"/>
    <x v="1"/>
    <x v="0"/>
    <x v="0"/>
    <x v="0"/>
    <x v="3"/>
    <x v="3"/>
    <x v="11"/>
    <x v="1"/>
  </r>
  <r>
    <x v="2119"/>
    <x v="9"/>
    <x v="1"/>
    <n v="63.2"/>
    <x v="628"/>
    <x v="77"/>
    <d v="2025-03-19T00:00:00"/>
    <x v="1"/>
    <x v="4"/>
    <x v="1"/>
    <x v="0"/>
    <x v="3"/>
    <x v="7"/>
    <x v="11"/>
    <x v="1"/>
  </r>
  <r>
    <x v="2120"/>
    <x v="5"/>
    <x v="9"/>
    <n v="33.700000000000003"/>
    <x v="1603"/>
    <x v="77"/>
    <d v="2025-03-20T00:00:00"/>
    <x v="2"/>
    <x v="0"/>
    <x v="0"/>
    <x v="0"/>
    <x v="3"/>
    <x v="3"/>
    <x v="11"/>
    <x v="2"/>
  </r>
  <r>
    <x v="2121"/>
    <x v="2"/>
    <x v="2"/>
    <n v="107.4"/>
    <x v="1604"/>
    <x v="77"/>
    <d v="2025-04-01T00:00:00"/>
    <x v="2"/>
    <x v="1"/>
    <x v="2"/>
    <x v="0"/>
    <x v="3"/>
    <x v="10"/>
    <x v="11"/>
    <x v="2"/>
  </r>
  <r>
    <x v="2122"/>
    <x v="4"/>
    <x v="12"/>
    <n v="22.2"/>
    <x v="1605"/>
    <x v="77"/>
    <d v="2025-03-20T00:00:00"/>
    <x v="0"/>
    <x v="1"/>
    <x v="2"/>
    <x v="0"/>
    <x v="24"/>
    <x v="3"/>
    <x v="11"/>
    <x v="0"/>
  </r>
  <r>
    <x v="2123"/>
    <x v="18"/>
    <x v="2"/>
    <n v="52.8"/>
    <x v="1329"/>
    <x v="77"/>
    <d v="2025-03-20T00:00:00"/>
    <x v="1"/>
    <x v="3"/>
    <x v="2"/>
    <x v="0"/>
    <x v="24"/>
    <x v="3"/>
    <x v="11"/>
    <x v="1"/>
  </r>
  <r>
    <x v="2124"/>
    <x v="8"/>
    <x v="2"/>
    <n v="41.5"/>
    <x v="376"/>
    <x v="77"/>
    <d v="2025-03-22T00:00:00"/>
    <x v="2"/>
    <x v="0"/>
    <x v="0"/>
    <x v="0"/>
    <x v="25"/>
    <x v="2"/>
    <x v="11"/>
    <x v="2"/>
  </r>
  <r>
    <x v="2125"/>
    <x v="12"/>
    <x v="8"/>
    <n v="103.5"/>
    <x v="1606"/>
    <x v="77"/>
    <d v="2025-03-22T00:00:00"/>
    <x v="2"/>
    <x v="0"/>
    <x v="2"/>
    <x v="0"/>
    <x v="23"/>
    <x v="2"/>
    <x v="11"/>
    <x v="2"/>
  </r>
  <r>
    <x v="2126"/>
    <x v="4"/>
    <x v="21"/>
    <n v="37.5"/>
    <x v="1469"/>
    <x v="77"/>
    <d v="2025-03-19T00:00:00"/>
    <x v="2"/>
    <x v="1"/>
    <x v="2"/>
    <x v="0"/>
    <x v="6"/>
    <x v="7"/>
    <x v="11"/>
    <x v="2"/>
  </r>
  <r>
    <x v="2127"/>
    <x v="15"/>
    <x v="8"/>
    <n v="44.4"/>
    <x v="1607"/>
    <x v="77"/>
    <d v="2025-03-25T00:00:00"/>
    <x v="2"/>
    <x v="3"/>
    <x v="2"/>
    <x v="0"/>
    <x v="7"/>
    <x v="4"/>
    <x v="11"/>
    <x v="2"/>
  </r>
  <r>
    <x v="2128"/>
    <x v="8"/>
    <x v="2"/>
    <n v="26.2"/>
    <x v="1608"/>
    <x v="77"/>
    <d v="2025-03-20T00:00:00"/>
    <x v="1"/>
    <x v="0"/>
    <x v="0"/>
    <x v="0"/>
    <x v="8"/>
    <x v="3"/>
    <x v="11"/>
    <x v="1"/>
  </r>
  <r>
    <x v="2129"/>
    <x v="1"/>
    <x v="3"/>
    <n v="32.200000000000003"/>
    <x v="1009"/>
    <x v="77"/>
    <d v="2025-03-20T00:00:00"/>
    <x v="2"/>
    <x v="1"/>
    <x v="2"/>
    <x v="0"/>
    <x v="8"/>
    <x v="3"/>
    <x v="11"/>
    <x v="2"/>
  </r>
  <r>
    <x v="2130"/>
    <x v="8"/>
    <x v="0"/>
    <n v="17.399999999999999"/>
    <x v="1609"/>
    <x v="77"/>
    <d v="2025-03-23T00:00:00"/>
    <x v="0"/>
    <x v="2"/>
    <x v="1"/>
    <x v="0"/>
    <x v="8"/>
    <x v="5"/>
    <x v="11"/>
    <x v="0"/>
  </r>
  <r>
    <x v="2131"/>
    <x v="8"/>
    <x v="13"/>
    <n v="72.3"/>
    <x v="1610"/>
    <x v="77"/>
    <d v="2025-03-22T00:00:00"/>
    <x v="2"/>
    <x v="0"/>
    <x v="0"/>
    <x v="0"/>
    <x v="8"/>
    <x v="2"/>
    <x v="11"/>
    <x v="2"/>
  </r>
  <r>
    <x v="2132"/>
    <x v="8"/>
    <x v="5"/>
    <n v="24.3"/>
    <x v="1611"/>
    <x v="77"/>
    <d v="2025-03-20T00:00:00"/>
    <x v="1"/>
    <x v="0"/>
    <x v="0"/>
    <x v="0"/>
    <x v="8"/>
    <x v="3"/>
    <x v="11"/>
    <x v="1"/>
  </r>
  <r>
    <x v="2133"/>
    <x v="13"/>
    <x v="2"/>
    <n v="49.1"/>
    <x v="824"/>
    <x v="77"/>
    <d v="2025-03-25T00:00:00"/>
    <x v="1"/>
    <x v="2"/>
    <x v="4"/>
    <x v="0"/>
    <x v="8"/>
    <x v="4"/>
    <x v="11"/>
    <x v="1"/>
  </r>
  <r>
    <x v="2134"/>
    <x v="2"/>
    <x v="7"/>
    <n v="234.7"/>
    <x v="1612"/>
    <x v="77"/>
    <d v="2025-03-20T00:00:00"/>
    <x v="1"/>
    <x v="3"/>
    <x v="1"/>
    <x v="0"/>
    <x v="8"/>
    <x v="3"/>
    <x v="11"/>
    <x v="1"/>
  </r>
  <r>
    <x v="2135"/>
    <x v="3"/>
    <x v="9"/>
    <n v="76.099999999999994"/>
    <x v="1613"/>
    <x v="77"/>
    <d v="2025-03-21T00:00:00"/>
    <x v="1"/>
    <x v="1"/>
    <x v="1"/>
    <x v="0"/>
    <x v="17"/>
    <x v="1"/>
    <x v="11"/>
    <x v="1"/>
  </r>
  <r>
    <x v="2136"/>
    <x v="1"/>
    <x v="2"/>
    <n v="93.9"/>
    <x v="1614"/>
    <x v="77"/>
    <d v="2025-03-20T00:00:00"/>
    <x v="1"/>
    <x v="1"/>
    <x v="4"/>
    <x v="0"/>
    <x v="11"/>
    <x v="3"/>
    <x v="11"/>
    <x v="1"/>
  </r>
  <r>
    <x v="2137"/>
    <x v="2"/>
    <x v="12"/>
    <n v="187"/>
    <x v="1615"/>
    <x v="78"/>
    <d v="2025-03-23T00:00:00"/>
    <x v="1"/>
    <x v="0"/>
    <x v="0"/>
    <x v="0"/>
    <x v="11"/>
    <x v="2"/>
    <x v="11"/>
    <x v="1"/>
  </r>
  <r>
    <x v="2138"/>
    <x v="8"/>
    <x v="1"/>
    <n v="18"/>
    <x v="53"/>
    <x v="78"/>
    <d v="2025-03-21T00:00:00"/>
    <x v="2"/>
    <x v="1"/>
    <x v="2"/>
    <x v="0"/>
    <x v="53"/>
    <x v="3"/>
    <x v="11"/>
    <x v="2"/>
  </r>
  <r>
    <x v="2139"/>
    <x v="4"/>
    <x v="0"/>
    <n v="24.4"/>
    <x v="1616"/>
    <x v="78"/>
    <d v="2025-03-21T00:00:00"/>
    <x v="2"/>
    <x v="4"/>
    <x v="2"/>
    <x v="0"/>
    <x v="21"/>
    <x v="3"/>
    <x v="11"/>
    <x v="2"/>
  </r>
  <r>
    <x v="2140"/>
    <x v="10"/>
    <x v="1"/>
    <n v="38.799999999999997"/>
    <x v="1598"/>
    <x v="78"/>
    <d v="2025-03-21T00:00:00"/>
    <x v="1"/>
    <x v="4"/>
    <x v="1"/>
    <x v="0"/>
    <x v="3"/>
    <x v="3"/>
    <x v="11"/>
    <x v="1"/>
  </r>
  <r>
    <x v="2141"/>
    <x v="3"/>
    <x v="0"/>
    <n v="59.7"/>
    <x v="1201"/>
    <x v="78"/>
    <d v="2025-03-23T00:00:00"/>
    <x v="1"/>
    <x v="3"/>
    <x v="0"/>
    <x v="0"/>
    <x v="3"/>
    <x v="2"/>
    <x v="11"/>
    <x v="1"/>
  </r>
  <r>
    <x v="2142"/>
    <x v="7"/>
    <x v="0"/>
    <n v="31.2"/>
    <x v="406"/>
    <x v="78"/>
    <d v="2025-03-21T00:00:00"/>
    <x v="1"/>
    <x v="1"/>
    <x v="2"/>
    <x v="0"/>
    <x v="3"/>
    <x v="3"/>
    <x v="11"/>
    <x v="1"/>
  </r>
  <r>
    <x v="2143"/>
    <x v="0"/>
    <x v="0"/>
    <n v="16.8"/>
    <x v="749"/>
    <x v="78"/>
    <d v="2025-03-21T00:00:00"/>
    <x v="2"/>
    <x v="2"/>
    <x v="1"/>
    <x v="0"/>
    <x v="3"/>
    <x v="3"/>
    <x v="11"/>
    <x v="2"/>
  </r>
  <r>
    <x v="2144"/>
    <x v="8"/>
    <x v="0"/>
    <n v="46"/>
    <x v="716"/>
    <x v="78"/>
    <d v="2025-03-21T00:00:00"/>
    <x v="1"/>
    <x v="0"/>
    <x v="0"/>
    <x v="0"/>
    <x v="3"/>
    <x v="3"/>
    <x v="11"/>
    <x v="1"/>
  </r>
  <r>
    <x v="2145"/>
    <x v="9"/>
    <x v="8"/>
    <n v="42.2"/>
    <x v="1617"/>
    <x v="78"/>
    <d v="2025-03-23T00:00:00"/>
    <x v="2"/>
    <x v="3"/>
    <x v="2"/>
    <x v="0"/>
    <x v="3"/>
    <x v="2"/>
    <x v="11"/>
    <x v="2"/>
  </r>
  <r>
    <x v="2146"/>
    <x v="1"/>
    <x v="2"/>
    <n v="71.5"/>
    <x v="523"/>
    <x v="78"/>
    <d v="2025-04-03T00:00:00"/>
    <x v="2"/>
    <x v="0"/>
    <x v="0"/>
    <x v="0"/>
    <x v="3"/>
    <x v="12"/>
    <x v="11"/>
    <x v="2"/>
  </r>
  <r>
    <x v="2147"/>
    <x v="1"/>
    <x v="1"/>
    <n v="76.599999999999994"/>
    <x v="1618"/>
    <x v="78"/>
    <d v="2025-03-20T00:00:00"/>
    <x v="1"/>
    <x v="0"/>
    <x v="2"/>
    <x v="0"/>
    <x v="3"/>
    <x v="7"/>
    <x v="11"/>
    <x v="1"/>
  </r>
  <r>
    <x v="2148"/>
    <x v="12"/>
    <x v="1"/>
    <n v="87.3"/>
    <x v="1619"/>
    <x v="78"/>
    <d v="2025-03-28T00:00:00"/>
    <x v="2"/>
    <x v="3"/>
    <x v="2"/>
    <x v="0"/>
    <x v="3"/>
    <x v="9"/>
    <x v="11"/>
    <x v="2"/>
  </r>
  <r>
    <x v="2149"/>
    <x v="1"/>
    <x v="0"/>
    <n v="63"/>
    <x v="1620"/>
    <x v="78"/>
    <d v="2025-03-23T00:00:00"/>
    <x v="1"/>
    <x v="3"/>
    <x v="0"/>
    <x v="0"/>
    <x v="3"/>
    <x v="2"/>
    <x v="11"/>
    <x v="1"/>
  </r>
  <r>
    <x v="2150"/>
    <x v="8"/>
    <x v="1"/>
    <n v="41.7"/>
    <x v="925"/>
    <x v="78"/>
    <d v="2025-03-21T00:00:00"/>
    <x v="2"/>
    <x v="4"/>
    <x v="1"/>
    <x v="0"/>
    <x v="43"/>
    <x v="3"/>
    <x v="11"/>
    <x v="2"/>
  </r>
  <r>
    <x v="2151"/>
    <x v="6"/>
    <x v="1"/>
    <n v="76.099999999999994"/>
    <x v="1621"/>
    <x v="78"/>
    <d v="2025-03-20T00:00:00"/>
    <x v="2"/>
    <x v="4"/>
    <x v="2"/>
    <x v="0"/>
    <x v="16"/>
    <x v="7"/>
    <x v="11"/>
    <x v="2"/>
  </r>
  <r>
    <x v="2152"/>
    <x v="13"/>
    <x v="1"/>
    <n v="28.5"/>
    <x v="933"/>
    <x v="78"/>
    <d v="2025-03-21T00:00:00"/>
    <x v="2"/>
    <x v="0"/>
    <x v="2"/>
    <x v="0"/>
    <x v="4"/>
    <x v="3"/>
    <x v="11"/>
    <x v="2"/>
  </r>
  <r>
    <x v="2153"/>
    <x v="0"/>
    <x v="12"/>
    <n v="32.1"/>
    <x v="58"/>
    <x v="78"/>
    <d v="2025-03-21T00:00:00"/>
    <x v="2"/>
    <x v="1"/>
    <x v="2"/>
    <x v="0"/>
    <x v="25"/>
    <x v="3"/>
    <x v="11"/>
    <x v="2"/>
  </r>
  <r>
    <x v="2154"/>
    <x v="4"/>
    <x v="2"/>
    <n v="39"/>
    <x v="1622"/>
    <x v="78"/>
    <d v="2025-03-23T00:00:00"/>
    <x v="1"/>
    <x v="1"/>
    <x v="2"/>
    <x v="0"/>
    <x v="25"/>
    <x v="2"/>
    <x v="11"/>
    <x v="1"/>
  </r>
  <r>
    <x v="2155"/>
    <x v="6"/>
    <x v="0"/>
    <n v="78.5"/>
    <x v="1623"/>
    <x v="78"/>
    <d v="2025-03-21T00:00:00"/>
    <x v="1"/>
    <x v="1"/>
    <x v="0"/>
    <x v="0"/>
    <x v="6"/>
    <x v="3"/>
    <x v="11"/>
    <x v="1"/>
  </r>
  <r>
    <x v="2156"/>
    <x v="4"/>
    <x v="9"/>
    <n v="49.7"/>
    <x v="1624"/>
    <x v="78"/>
    <d v="2025-03-22T00:00:00"/>
    <x v="2"/>
    <x v="0"/>
    <x v="0"/>
    <x v="0"/>
    <x v="6"/>
    <x v="1"/>
    <x v="11"/>
    <x v="2"/>
  </r>
  <r>
    <x v="2157"/>
    <x v="1"/>
    <x v="12"/>
    <n v="68.400000000000006"/>
    <x v="1625"/>
    <x v="78"/>
    <d v="2025-03-21T00:00:00"/>
    <x v="2"/>
    <x v="2"/>
    <x v="2"/>
    <x v="0"/>
    <x v="7"/>
    <x v="3"/>
    <x v="11"/>
    <x v="2"/>
  </r>
  <r>
    <x v="2158"/>
    <x v="3"/>
    <x v="1"/>
    <n v="72.900000000000006"/>
    <x v="1626"/>
    <x v="78"/>
    <d v="2025-03-23T00:00:00"/>
    <x v="0"/>
    <x v="0"/>
    <x v="2"/>
    <x v="0"/>
    <x v="7"/>
    <x v="2"/>
    <x v="11"/>
    <x v="0"/>
  </r>
  <r>
    <x v="2159"/>
    <x v="5"/>
    <x v="15"/>
    <n v="30.3"/>
    <x v="1627"/>
    <x v="78"/>
    <d v="2025-03-21T00:00:00"/>
    <x v="1"/>
    <x v="4"/>
    <x v="0"/>
    <x v="0"/>
    <x v="7"/>
    <x v="3"/>
    <x v="11"/>
    <x v="1"/>
  </r>
  <r>
    <x v="2160"/>
    <x v="6"/>
    <x v="5"/>
    <n v="57.9"/>
    <x v="1628"/>
    <x v="78"/>
    <d v="2025-03-21T00:00:00"/>
    <x v="2"/>
    <x v="0"/>
    <x v="0"/>
    <x v="0"/>
    <x v="8"/>
    <x v="3"/>
    <x v="11"/>
    <x v="2"/>
  </r>
  <r>
    <x v="2161"/>
    <x v="1"/>
    <x v="0"/>
    <n v="96.7"/>
    <x v="1629"/>
    <x v="78"/>
    <d v="2025-03-21T00:00:00"/>
    <x v="1"/>
    <x v="0"/>
    <x v="0"/>
    <x v="0"/>
    <x v="8"/>
    <x v="3"/>
    <x v="11"/>
    <x v="1"/>
  </r>
  <r>
    <x v="2162"/>
    <x v="8"/>
    <x v="4"/>
    <n v="27.6"/>
    <x v="1630"/>
    <x v="78"/>
    <d v="2025-03-22T00:00:00"/>
    <x v="1"/>
    <x v="2"/>
    <x v="2"/>
    <x v="0"/>
    <x v="8"/>
    <x v="1"/>
    <x v="11"/>
    <x v="1"/>
  </r>
  <r>
    <x v="2163"/>
    <x v="6"/>
    <x v="12"/>
    <n v="64.7"/>
    <x v="536"/>
    <x v="78"/>
    <d v="2025-03-20T00:00:00"/>
    <x v="1"/>
    <x v="3"/>
    <x v="2"/>
    <x v="0"/>
    <x v="8"/>
    <x v="7"/>
    <x v="11"/>
    <x v="1"/>
  </r>
  <r>
    <x v="2164"/>
    <x v="10"/>
    <x v="13"/>
    <n v="30.5"/>
    <x v="1143"/>
    <x v="78"/>
    <d v="2025-03-21T00:00:00"/>
    <x v="1"/>
    <x v="4"/>
    <x v="0"/>
    <x v="0"/>
    <x v="8"/>
    <x v="3"/>
    <x v="11"/>
    <x v="1"/>
  </r>
  <r>
    <x v="2165"/>
    <x v="6"/>
    <x v="47"/>
    <n v="106"/>
    <x v="1631"/>
    <x v="79"/>
    <d v="2025-03-23T00:00:00"/>
    <x v="1"/>
    <x v="4"/>
    <x v="2"/>
    <x v="0"/>
    <x v="8"/>
    <x v="1"/>
    <x v="11"/>
    <x v="1"/>
  </r>
  <r>
    <x v="2166"/>
    <x v="12"/>
    <x v="9"/>
    <n v="76.8"/>
    <x v="1632"/>
    <x v="79"/>
    <d v="2025-03-27T00:00:00"/>
    <x v="0"/>
    <x v="1"/>
    <x v="1"/>
    <x v="0"/>
    <x v="18"/>
    <x v="4"/>
    <x v="11"/>
    <x v="0"/>
  </r>
  <r>
    <x v="2167"/>
    <x v="6"/>
    <x v="1"/>
    <n v="80.400000000000006"/>
    <x v="1530"/>
    <x v="79"/>
    <d v="2025-03-22T00:00:00"/>
    <x v="2"/>
    <x v="2"/>
    <x v="0"/>
    <x v="0"/>
    <x v="13"/>
    <x v="3"/>
    <x v="11"/>
    <x v="2"/>
  </r>
  <r>
    <x v="2168"/>
    <x v="6"/>
    <x v="12"/>
    <n v="69.099999999999994"/>
    <x v="1633"/>
    <x v="79"/>
    <d v="2025-03-22T00:00:00"/>
    <x v="1"/>
    <x v="1"/>
    <x v="2"/>
    <x v="0"/>
    <x v="21"/>
    <x v="3"/>
    <x v="11"/>
    <x v="1"/>
  </r>
  <r>
    <x v="2169"/>
    <x v="18"/>
    <x v="1"/>
    <n v="76.400000000000006"/>
    <x v="1634"/>
    <x v="79"/>
    <d v="2025-03-21T00:00:00"/>
    <x v="1"/>
    <x v="3"/>
    <x v="0"/>
    <x v="0"/>
    <x v="21"/>
    <x v="7"/>
    <x v="11"/>
    <x v="1"/>
  </r>
  <r>
    <x v="2170"/>
    <x v="2"/>
    <x v="1"/>
    <n v="61.3"/>
    <x v="384"/>
    <x v="79"/>
    <d v="2025-03-22T00:00:00"/>
    <x v="2"/>
    <x v="1"/>
    <x v="1"/>
    <x v="0"/>
    <x v="21"/>
    <x v="3"/>
    <x v="11"/>
    <x v="2"/>
  </r>
  <r>
    <x v="2171"/>
    <x v="7"/>
    <x v="0"/>
    <n v="58"/>
    <x v="1635"/>
    <x v="79"/>
    <d v="2025-03-22T00:00:00"/>
    <x v="1"/>
    <x v="3"/>
    <x v="1"/>
    <x v="0"/>
    <x v="1"/>
    <x v="3"/>
    <x v="11"/>
    <x v="1"/>
  </r>
  <r>
    <x v="2172"/>
    <x v="2"/>
    <x v="8"/>
    <n v="102.3"/>
    <x v="1636"/>
    <x v="79"/>
    <d v="2025-03-23T00:00:00"/>
    <x v="1"/>
    <x v="2"/>
    <x v="0"/>
    <x v="0"/>
    <x v="42"/>
    <x v="1"/>
    <x v="11"/>
    <x v="1"/>
  </r>
  <r>
    <x v="2173"/>
    <x v="19"/>
    <x v="1"/>
    <n v="13.8"/>
    <x v="1637"/>
    <x v="79"/>
    <d v="2025-03-22T00:00:00"/>
    <x v="2"/>
    <x v="4"/>
    <x v="2"/>
    <x v="0"/>
    <x v="2"/>
    <x v="3"/>
    <x v="11"/>
    <x v="2"/>
  </r>
  <r>
    <x v="2174"/>
    <x v="8"/>
    <x v="2"/>
    <n v="33.299999999999997"/>
    <x v="1638"/>
    <x v="79"/>
    <d v="2025-03-24T00:00:00"/>
    <x v="2"/>
    <x v="2"/>
    <x v="0"/>
    <x v="0"/>
    <x v="22"/>
    <x v="2"/>
    <x v="11"/>
    <x v="2"/>
  </r>
  <r>
    <x v="2175"/>
    <x v="10"/>
    <x v="0"/>
    <n v="27.4"/>
    <x v="1639"/>
    <x v="79"/>
    <d v="2025-03-24T00:00:00"/>
    <x v="1"/>
    <x v="0"/>
    <x v="2"/>
    <x v="0"/>
    <x v="22"/>
    <x v="2"/>
    <x v="11"/>
    <x v="1"/>
  </r>
  <r>
    <x v="2176"/>
    <x v="14"/>
    <x v="1"/>
    <n v="25.6"/>
    <x v="180"/>
    <x v="79"/>
    <d v="2025-03-22T00:00:00"/>
    <x v="2"/>
    <x v="1"/>
    <x v="1"/>
    <x v="0"/>
    <x v="3"/>
    <x v="3"/>
    <x v="11"/>
    <x v="2"/>
  </r>
  <r>
    <x v="2177"/>
    <x v="13"/>
    <x v="0"/>
    <n v="58.4"/>
    <x v="305"/>
    <x v="79"/>
    <d v="2025-03-22T00:00:00"/>
    <x v="2"/>
    <x v="2"/>
    <x v="2"/>
    <x v="0"/>
    <x v="3"/>
    <x v="3"/>
    <x v="11"/>
    <x v="2"/>
  </r>
  <r>
    <x v="2178"/>
    <x v="11"/>
    <x v="17"/>
    <n v="27"/>
    <x v="906"/>
    <x v="79"/>
    <d v="2025-03-22T00:00:00"/>
    <x v="2"/>
    <x v="4"/>
    <x v="0"/>
    <x v="0"/>
    <x v="3"/>
    <x v="3"/>
    <x v="11"/>
    <x v="2"/>
  </r>
  <r>
    <x v="2179"/>
    <x v="0"/>
    <x v="12"/>
    <n v="14.2"/>
    <x v="1640"/>
    <x v="79"/>
    <d v="2025-03-22T00:00:00"/>
    <x v="1"/>
    <x v="0"/>
    <x v="2"/>
    <x v="0"/>
    <x v="3"/>
    <x v="3"/>
    <x v="11"/>
    <x v="1"/>
  </r>
  <r>
    <x v="2180"/>
    <x v="7"/>
    <x v="1"/>
    <n v="68"/>
    <x v="1641"/>
    <x v="79"/>
    <d v="2025-03-31T00:00:00"/>
    <x v="1"/>
    <x v="2"/>
    <x v="1"/>
    <x v="0"/>
    <x v="3"/>
    <x v="14"/>
    <x v="11"/>
    <x v="1"/>
  </r>
  <r>
    <x v="2181"/>
    <x v="8"/>
    <x v="0"/>
    <n v="30.7"/>
    <x v="1642"/>
    <x v="79"/>
    <d v="2025-03-22T00:00:00"/>
    <x v="1"/>
    <x v="0"/>
    <x v="0"/>
    <x v="0"/>
    <x v="3"/>
    <x v="3"/>
    <x v="11"/>
    <x v="1"/>
  </r>
  <r>
    <x v="2182"/>
    <x v="17"/>
    <x v="15"/>
    <n v="51.6"/>
    <x v="1643"/>
    <x v="79"/>
    <d v="2025-03-24T00:00:00"/>
    <x v="3"/>
    <x v="1"/>
    <x v="2"/>
    <x v="0"/>
    <x v="3"/>
    <x v="2"/>
    <x v="11"/>
    <x v="3"/>
  </r>
  <r>
    <x v="2183"/>
    <x v="8"/>
    <x v="2"/>
    <n v="20.6"/>
    <x v="957"/>
    <x v="79"/>
    <d v="2025-03-25T00:00:00"/>
    <x v="2"/>
    <x v="4"/>
    <x v="2"/>
    <x v="0"/>
    <x v="3"/>
    <x v="5"/>
    <x v="11"/>
    <x v="2"/>
  </r>
  <r>
    <x v="2184"/>
    <x v="8"/>
    <x v="0"/>
    <n v="24.8"/>
    <x v="1644"/>
    <x v="79"/>
    <d v="2025-03-22T00:00:00"/>
    <x v="1"/>
    <x v="4"/>
    <x v="0"/>
    <x v="0"/>
    <x v="3"/>
    <x v="3"/>
    <x v="11"/>
    <x v="1"/>
  </r>
  <r>
    <x v="2185"/>
    <x v="0"/>
    <x v="3"/>
    <n v="11.2"/>
    <x v="1645"/>
    <x v="79"/>
    <d v="2025-03-24T00:00:00"/>
    <x v="1"/>
    <x v="1"/>
    <x v="0"/>
    <x v="0"/>
    <x v="3"/>
    <x v="2"/>
    <x v="11"/>
    <x v="1"/>
  </r>
  <r>
    <x v="2186"/>
    <x v="11"/>
    <x v="1"/>
    <n v="51.2"/>
    <x v="298"/>
    <x v="79"/>
    <d v="2025-03-22T00:00:00"/>
    <x v="2"/>
    <x v="1"/>
    <x v="2"/>
    <x v="0"/>
    <x v="3"/>
    <x v="3"/>
    <x v="11"/>
    <x v="2"/>
  </r>
  <r>
    <x v="2187"/>
    <x v="7"/>
    <x v="13"/>
    <n v="90.5"/>
    <x v="1646"/>
    <x v="79"/>
    <d v="2025-03-22T00:00:00"/>
    <x v="2"/>
    <x v="1"/>
    <x v="4"/>
    <x v="0"/>
    <x v="3"/>
    <x v="3"/>
    <x v="11"/>
    <x v="2"/>
  </r>
  <r>
    <x v="2188"/>
    <x v="1"/>
    <x v="1"/>
    <n v="42.4"/>
    <x v="1647"/>
    <x v="79"/>
    <d v="2025-03-22T00:00:00"/>
    <x v="1"/>
    <x v="1"/>
    <x v="2"/>
    <x v="0"/>
    <x v="4"/>
    <x v="3"/>
    <x v="11"/>
    <x v="1"/>
  </r>
  <r>
    <x v="2189"/>
    <x v="1"/>
    <x v="1"/>
    <n v="38.200000000000003"/>
    <x v="1648"/>
    <x v="79"/>
    <d v="2025-03-22T00:00:00"/>
    <x v="1"/>
    <x v="0"/>
    <x v="0"/>
    <x v="0"/>
    <x v="5"/>
    <x v="3"/>
    <x v="11"/>
    <x v="1"/>
  </r>
  <r>
    <x v="2190"/>
    <x v="2"/>
    <x v="11"/>
    <n v="121.3"/>
    <x v="1649"/>
    <x v="79"/>
    <d v="2025-03-26T00:00:00"/>
    <x v="1"/>
    <x v="0"/>
    <x v="0"/>
    <x v="0"/>
    <x v="6"/>
    <x v="0"/>
    <x v="11"/>
    <x v="1"/>
  </r>
  <r>
    <x v="2191"/>
    <x v="6"/>
    <x v="1"/>
    <n v="46.9"/>
    <x v="1650"/>
    <x v="79"/>
    <d v="2025-03-28T00:00:00"/>
    <x v="1"/>
    <x v="0"/>
    <x v="0"/>
    <x v="0"/>
    <x v="8"/>
    <x v="6"/>
    <x v="11"/>
    <x v="1"/>
  </r>
  <r>
    <x v="2192"/>
    <x v="10"/>
    <x v="0"/>
    <n v="55.3"/>
    <x v="6"/>
    <x v="79"/>
    <d v="2025-03-23T00:00:00"/>
    <x v="1"/>
    <x v="0"/>
    <x v="0"/>
    <x v="0"/>
    <x v="8"/>
    <x v="1"/>
    <x v="11"/>
    <x v="1"/>
  </r>
  <r>
    <x v="2193"/>
    <x v="2"/>
    <x v="2"/>
    <n v="70.599999999999994"/>
    <x v="1651"/>
    <x v="80"/>
    <d v="2025-03-22T00:00:00"/>
    <x v="2"/>
    <x v="0"/>
    <x v="1"/>
    <x v="0"/>
    <x v="8"/>
    <x v="7"/>
    <x v="11"/>
    <x v="2"/>
  </r>
  <r>
    <x v="2194"/>
    <x v="14"/>
    <x v="12"/>
    <n v="26.1"/>
    <x v="1652"/>
    <x v="80"/>
    <d v="2025-03-24T00:00:00"/>
    <x v="1"/>
    <x v="0"/>
    <x v="0"/>
    <x v="0"/>
    <x v="8"/>
    <x v="1"/>
    <x v="11"/>
    <x v="1"/>
  </r>
  <r>
    <x v="2195"/>
    <x v="9"/>
    <x v="5"/>
    <n v="34.5"/>
    <x v="1653"/>
    <x v="80"/>
    <d v="2025-03-26T00:00:00"/>
    <x v="1"/>
    <x v="2"/>
    <x v="0"/>
    <x v="0"/>
    <x v="17"/>
    <x v="5"/>
    <x v="11"/>
    <x v="1"/>
  </r>
  <r>
    <x v="2196"/>
    <x v="1"/>
    <x v="1"/>
    <n v="64.2"/>
    <x v="58"/>
    <x v="80"/>
    <d v="2025-03-23T00:00:00"/>
    <x v="2"/>
    <x v="0"/>
    <x v="1"/>
    <x v="0"/>
    <x v="17"/>
    <x v="3"/>
    <x v="11"/>
    <x v="2"/>
  </r>
  <r>
    <x v="2197"/>
    <x v="2"/>
    <x v="12"/>
    <n v="145.69999999999999"/>
    <x v="1654"/>
    <x v="80"/>
    <d v="2025-03-23T00:00:00"/>
    <x v="2"/>
    <x v="0"/>
    <x v="4"/>
    <x v="0"/>
    <x v="17"/>
    <x v="3"/>
    <x v="11"/>
    <x v="2"/>
  </r>
  <r>
    <x v="2198"/>
    <x v="12"/>
    <x v="1"/>
    <n v="78.5"/>
    <x v="1655"/>
    <x v="80"/>
    <d v="2025-03-23T00:00:00"/>
    <x v="1"/>
    <x v="2"/>
    <x v="0"/>
    <x v="0"/>
    <x v="26"/>
    <x v="3"/>
    <x v="11"/>
    <x v="1"/>
  </r>
  <r>
    <x v="2199"/>
    <x v="1"/>
    <x v="0"/>
    <n v="34.200000000000003"/>
    <x v="1656"/>
    <x v="80"/>
    <d v="2025-03-24T00:00:00"/>
    <x v="1"/>
    <x v="0"/>
    <x v="0"/>
    <x v="0"/>
    <x v="9"/>
    <x v="1"/>
    <x v="11"/>
    <x v="1"/>
  </r>
  <r>
    <x v="2200"/>
    <x v="19"/>
    <x v="0"/>
    <n v="26.2"/>
    <x v="1102"/>
    <x v="80"/>
    <d v="2025-03-23T00:00:00"/>
    <x v="1"/>
    <x v="2"/>
    <x v="0"/>
    <x v="0"/>
    <x v="9"/>
    <x v="3"/>
    <x v="11"/>
    <x v="1"/>
  </r>
  <r>
    <x v="2201"/>
    <x v="6"/>
    <x v="12"/>
    <n v="53.2"/>
    <x v="1547"/>
    <x v="80"/>
    <d v="2025-03-23T00:00:00"/>
    <x v="1"/>
    <x v="1"/>
    <x v="1"/>
    <x v="0"/>
    <x v="11"/>
    <x v="3"/>
    <x v="11"/>
    <x v="1"/>
  </r>
  <r>
    <x v="2202"/>
    <x v="1"/>
    <x v="0"/>
    <n v="35.4"/>
    <x v="1657"/>
    <x v="80"/>
    <d v="2025-03-26T00:00:00"/>
    <x v="1"/>
    <x v="1"/>
    <x v="4"/>
    <x v="0"/>
    <x v="18"/>
    <x v="5"/>
    <x v="11"/>
    <x v="1"/>
  </r>
  <r>
    <x v="2203"/>
    <x v="14"/>
    <x v="1"/>
    <n v="21.3"/>
    <x v="440"/>
    <x v="80"/>
    <d v="2025-03-23T00:00:00"/>
    <x v="1"/>
    <x v="2"/>
    <x v="0"/>
    <x v="0"/>
    <x v="20"/>
    <x v="3"/>
    <x v="11"/>
    <x v="1"/>
  </r>
  <r>
    <x v="2204"/>
    <x v="8"/>
    <x v="12"/>
    <n v="32.9"/>
    <x v="1423"/>
    <x v="80"/>
    <d v="2025-03-25T00:00:00"/>
    <x v="2"/>
    <x v="4"/>
    <x v="2"/>
    <x v="0"/>
    <x v="21"/>
    <x v="2"/>
    <x v="11"/>
    <x v="2"/>
  </r>
  <r>
    <x v="2205"/>
    <x v="5"/>
    <x v="20"/>
    <n v="85.5"/>
    <x v="1658"/>
    <x v="80"/>
    <d v="2025-03-24T00:00:00"/>
    <x v="2"/>
    <x v="3"/>
    <x v="1"/>
    <x v="0"/>
    <x v="21"/>
    <x v="1"/>
    <x v="11"/>
    <x v="2"/>
  </r>
  <r>
    <x v="2206"/>
    <x v="4"/>
    <x v="0"/>
    <n v="26.8"/>
    <x v="63"/>
    <x v="80"/>
    <d v="2025-03-23T00:00:00"/>
    <x v="2"/>
    <x v="0"/>
    <x v="1"/>
    <x v="0"/>
    <x v="2"/>
    <x v="3"/>
    <x v="11"/>
    <x v="2"/>
  </r>
  <r>
    <x v="2207"/>
    <x v="9"/>
    <x v="18"/>
    <n v="31.7"/>
    <x v="1659"/>
    <x v="80"/>
    <d v="2025-03-22T00:00:00"/>
    <x v="2"/>
    <x v="3"/>
    <x v="0"/>
    <x v="0"/>
    <x v="2"/>
    <x v="7"/>
    <x v="11"/>
    <x v="2"/>
  </r>
  <r>
    <x v="2208"/>
    <x v="1"/>
    <x v="1"/>
    <n v="78.3"/>
    <x v="1660"/>
    <x v="80"/>
    <d v="2025-03-24T00:00:00"/>
    <x v="2"/>
    <x v="1"/>
    <x v="1"/>
    <x v="0"/>
    <x v="3"/>
    <x v="1"/>
    <x v="11"/>
    <x v="2"/>
  </r>
  <r>
    <x v="2209"/>
    <x v="6"/>
    <x v="0"/>
    <n v="43.9"/>
    <x v="1661"/>
    <x v="80"/>
    <d v="2025-03-23T00:00:00"/>
    <x v="1"/>
    <x v="0"/>
    <x v="0"/>
    <x v="0"/>
    <x v="3"/>
    <x v="3"/>
    <x v="11"/>
    <x v="1"/>
  </r>
  <r>
    <x v="2210"/>
    <x v="18"/>
    <x v="2"/>
    <n v="84"/>
    <x v="816"/>
    <x v="80"/>
    <d v="2025-03-24T00:00:00"/>
    <x v="0"/>
    <x v="3"/>
    <x v="2"/>
    <x v="0"/>
    <x v="3"/>
    <x v="1"/>
    <x v="11"/>
    <x v="0"/>
  </r>
  <r>
    <x v="2211"/>
    <x v="0"/>
    <x v="2"/>
    <n v="11.4"/>
    <x v="1656"/>
    <x v="80"/>
    <d v="2025-03-23T00:00:00"/>
    <x v="1"/>
    <x v="4"/>
    <x v="0"/>
    <x v="0"/>
    <x v="3"/>
    <x v="3"/>
    <x v="11"/>
    <x v="1"/>
  </r>
  <r>
    <x v="2212"/>
    <x v="12"/>
    <x v="8"/>
    <n v="47.5"/>
    <x v="1662"/>
    <x v="80"/>
    <d v="2025-03-30T00:00:00"/>
    <x v="2"/>
    <x v="0"/>
    <x v="0"/>
    <x v="0"/>
    <x v="3"/>
    <x v="9"/>
    <x v="11"/>
    <x v="2"/>
  </r>
  <r>
    <x v="2213"/>
    <x v="9"/>
    <x v="5"/>
    <n v="50.5"/>
    <x v="1663"/>
    <x v="80"/>
    <d v="2025-03-24T00:00:00"/>
    <x v="1"/>
    <x v="2"/>
    <x v="0"/>
    <x v="0"/>
    <x v="3"/>
    <x v="1"/>
    <x v="11"/>
    <x v="1"/>
  </r>
  <r>
    <x v="2214"/>
    <x v="15"/>
    <x v="0"/>
    <n v="36.299999999999997"/>
    <x v="1277"/>
    <x v="80"/>
    <d v="2025-03-25T00:00:00"/>
    <x v="3"/>
    <x v="0"/>
    <x v="1"/>
    <x v="0"/>
    <x v="8"/>
    <x v="2"/>
    <x v="11"/>
    <x v="3"/>
  </r>
  <r>
    <x v="2215"/>
    <x v="8"/>
    <x v="1"/>
    <n v="35.4"/>
    <x v="1664"/>
    <x v="80"/>
    <d v="2025-03-23T00:00:00"/>
    <x v="2"/>
    <x v="0"/>
    <x v="0"/>
    <x v="0"/>
    <x v="17"/>
    <x v="3"/>
    <x v="11"/>
    <x v="2"/>
  </r>
  <r>
    <x v="2216"/>
    <x v="1"/>
    <x v="2"/>
    <n v="45.9"/>
    <x v="223"/>
    <x v="81"/>
    <d v="2025-03-24T00:00:00"/>
    <x v="1"/>
    <x v="3"/>
    <x v="0"/>
    <x v="0"/>
    <x v="9"/>
    <x v="3"/>
    <x v="12"/>
    <x v="1"/>
  </r>
  <r>
    <x v="2217"/>
    <x v="6"/>
    <x v="7"/>
    <n v="41.2"/>
    <x v="1665"/>
    <x v="81"/>
    <d v="2025-03-27T00:00:00"/>
    <x v="1"/>
    <x v="0"/>
    <x v="0"/>
    <x v="0"/>
    <x v="11"/>
    <x v="5"/>
    <x v="12"/>
    <x v="1"/>
  </r>
  <r>
    <x v="2218"/>
    <x v="17"/>
    <x v="1"/>
    <n v="45.1"/>
    <x v="244"/>
    <x v="81"/>
    <d v="2025-03-24T00:00:00"/>
    <x v="1"/>
    <x v="1"/>
    <x v="1"/>
    <x v="0"/>
    <x v="21"/>
    <x v="3"/>
    <x v="12"/>
    <x v="1"/>
  </r>
  <r>
    <x v="2219"/>
    <x v="6"/>
    <x v="7"/>
    <n v="63.6"/>
    <x v="1666"/>
    <x v="81"/>
    <d v="2025-03-23T00:00:00"/>
    <x v="1"/>
    <x v="2"/>
    <x v="0"/>
    <x v="0"/>
    <x v="1"/>
    <x v="7"/>
    <x v="12"/>
    <x v="1"/>
  </r>
  <r>
    <x v="2220"/>
    <x v="8"/>
    <x v="0"/>
    <n v="70.5"/>
    <x v="1012"/>
    <x v="81"/>
    <d v="2025-03-24T00:00:00"/>
    <x v="1"/>
    <x v="0"/>
    <x v="0"/>
    <x v="0"/>
    <x v="3"/>
    <x v="3"/>
    <x v="12"/>
    <x v="1"/>
  </r>
  <r>
    <x v="2221"/>
    <x v="6"/>
    <x v="0"/>
    <n v="41.3"/>
    <x v="1667"/>
    <x v="81"/>
    <d v="2025-03-23T00:00:00"/>
    <x v="1"/>
    <x v="4"/>
    <x v="0"/>
    <x v="0"/>
    <x v="3"/>
    <x v="7"/>
    <x v="12"/>
    <x v="1"/>
  </r>
  <r>
    <x v="2222"/>
    <x v="4"/>
    <x v="0"/>
    <n v="35.299999999999997"/>
    <x v="1668"/>
    <x v="81"/>
    <d v="2025-03-26T00:00:00"/>
    <x v="2"/>
    <x v="4"/>
    <x v="2"/>
    <x v="0"/>
    <x v="3"/>
    <x v="2"/>
    <x v="12"/>
    <x v="2"/>
  </r>
  <r>
    <x v="2223"/>
    <x v="8"/>
    <x v="9"/>
    <n v="34.700000000000003"/>
    <x v="1669"/>
    <x v="81"/>
    <d v="2025-03-24T00:00:00"/>
    <x v="2"/>
    <x v="0"/>
    <x v="2"/>
    <x v="0"/>
    <x v="3"/>
    <x v="3"/>
    <x v="12"/>
    <x v="2"/>
  </r>
  <r>
    <x v="2224"/>
    <x v="8"/>
    <x v="2"/>
    <n v="26.1"/>
    <x v="1670"/>
    <x v="81"/>
    <d v="2025-03-24T00:00:00"/>
    <x v="2"/>
    <x v="0"/>
    <x v="0"/>
    <x v="0"/>
    <x v="3"/>
    <x v="3"/>
    <x v="12"/>
    <x v="2"/>
  </r>
  <r>
    <x v="2225"/>
    <x v="9"/>
    <x v="9"/>
    <n v="22.6"/>
    <x v="548"/>
    <x v="81"/>
    <d v="2025-03-23T00:00:00"/>
    <x v="2"/>
    <x v="1"/>
    <x v="2"/>
    <x v="0"/>
    <x v="3"/>
    <x v="7"/>
    <x v="12"/>
    <x v="2"/>
  </r>
  <r>
    <x v="2226"/>
    <x v="2"/>
    <x v="1"/>
    <n v="154.4"/>
    <x v="1671"/>
    <x v="81"/>
    <d v="2025-03-26T00:00:00"/>
    <x v="1"/>
    <x v="1"/>
    <x v="1"/>
    <x v="0"/>
    <x v="3"/>
    <x v="2"/>
    <x v="12"/>
    <x v="1"/>
  </r>
  <r>
    <x v="2227"/>
    <x v="8"/>
    <x v="1"/>
    <n v="18.399999999999999"/>
    <x v="791"/>
    <x v="81"/>
    <d v="2025-03-24T00:00:00"/>
    <x v="1"/>
    <x v="0"/>
    <x v="0"/>
    <x v="0"/>
    <x v="3"/>
    <x v="3"/>
    <x v="12"/>
    <x v="1"/>
  </r>
  <r>
    <x v="2228"/>
    <x v="14"/>
    <x v="0"/>
    <n v="25"/>
    <x v="1672"/>
    <x v="81"/>
    <d v="2025-03-26T00:00:00"/>
    <x v="2"/>
    <x v="0"/>
    <x v="0"/>
    <x v="0"/>
    <x v="3"/>
    <x v="2"/>
    <x v="12"/>
    <x v="2"/>
  </r>
  <r>
    <x v="2229"/>
    <x v="2"/>
    <x v="13"/>
    <n v="105.6"/>
    <x v="1673"/>
    <x v="81"/>
    <d v="2025-03-23T00:00:00"/>
    <x v="2"/>
    <x v="0"/>
    <x v="0"/>
    <x v="0"/>
    <x v="3"/>
    <x v="7"/>
    <x v="12"/>
    <x v="2"/>
  </r>
  <r>
    <x v="2230"/>
    <x v="18"/>
    <x v="8"/>
    <n v="59.6"/>
    <x v="1674"/>
    <x v="81"/>
    <d v="2025-03-23T00:00:00"/>
    <x v="2"/>
    <x v="0"/>
    <x v="2"/>
    <x v="0"/>
    <x v="23"/>
    <x v="7"/>
    <x v="12"/>
    <x v="2"/>
  </r>
  <r>
    <x v="2231"/>
    <x v="15"/>
    <x v="2"/>
    <n v="75.400000000000006"/>
    <x v="1675"/>
    <x v="81"/>
    <d v="2025-03-28T00:00:00"/>
    <x v="1"/>
    <x v="0"/>
    <x v="1"/>
    <x v="0"/>
    <x v="7"/>
    <x v="0"/>
    <x v="12"/>
    <x v="1"/>
  </r>
  <r>
    <x v="2232"/>
    <x v="7"/>
    <x v="0"/>
    <n v="104.4"/>
    <x v="1652"/>
    <x v="81"/>
    <d v="2025-03-24T00:00:00"/>
    <x v="2"/>
    <x v="0"/>
    <x v="0"/>
    <x v="0"/>
    <x v="8"/>
    <x v="3"/>
    <x v="12"/>
    <x v="2"/>
  </r>
  <r>
    <x v="2233"/>
    <x v="2"/>
    <x v="7"/>
    <n v="208.2"/>
    <x v="1676"/>
    <x v="81"/>
    <d v="2025-03-24T00:00:00"/>
    <x v="1"/>
    <x v="0"/>
    <x v="2"/>
    <x v="0"/>
    <x v="8"/>
    <x v="3"/>
    <x v="12"/>
    <x v="1"/>
  </r>
  <r>
    <x v="2234"/>
    <x v="6"/>
    <x v="1"/>
    <n v="45"/>
    <x v="645"/>
    <x v="81"/>
    <d v="2025-03-26T00:00:00"/>
    <x v="2"/>
    <x v="0"/>
    <x v="0"/>
    <x v="0"/>
    <x v="10"/>
    <x v="2"/>
    <x v="12"/>
    <x v="2"/>
  </r>
  <r>
    <x v="2235"/>
    <x v="15"/>
    <x v="1"/>
    <n v="20.3"/>
    <x v="1352"/>
    <x v="82"/>
    <d v="2025-03-26T00:00:00"/>
    <x v="0"/>
    <x v="1"/>
    <x v="0"/>
    <x v="0"/>
    <x v="11"/>
    <x v="1"/>
    <x v="12"/>
    <x v="0"/>
  </r>
  <r>
    <x v="2236"/>
    <x v="2"/>
    <x v="2"/>
    <n v="94.4"/>
    <x v="1677"/>
    <x v="82"/>
    <d v="2025-03-25T00:00:00"/>
    <x v="2"/>
    <x v="0"/>
    <x v="2"/>
    <x v="0"/>
    <x v="11"/>
    <x v="3"/>
    <x v="12"/>
    <x v="2"/>
  </r>
  <r>
    <x v="2237"/>
    <x v="9"/>
    <x v="0"/>
    <n v="49"/>
    <x v="268"/>
    <x v="82"/>
    <d v="2025-03-26T00:00:00"/>
    <x v="2"/>
    <x v="0"/>
    <x v="2"/>
    <x v="0"/>
    <x v="20"/>
    <x v="1"/>
    <x v="12"/>
    <x v="2"/>
  </r>
  <r>
    <x v="2238"/>
    <x v="4"/>
    <x v="1"/>
    <n v="27.2"/>
    <x v="630"/>
    <x v="82"/>
    <d v="2025-03-26T00:00:00"/>
    <x v="1"/>
    <x v="0"/>
    <x v="2"/>
    <x v="0"/>
    <x v="1"/>
    <x v="1"/>
    <x v="12"/>
    <x v="1"/>
  </r>
  <r>
    <x v="2239"/>
    <x v="2"/>
    <x v="13"/>
    <n v="72.599999999999994"/>
    <x v="349"/>
    <x v="82"/>
    <d v="2025-03-25T00:00:00"/>
    <x v="2"/>
    <x v="0"/>
    <x v="2"/>
    <x v="0"/>
    <x v="2"/>
    <x v="3"/>
    <x v="12"/>
    <x v="2"/>
  </r>
  <r>
    <x v="2240"/>
    <x v="15"/>
    <x v="12"/>
    <n v="62.4"/>
    <x v="1267"/>
    <x v="82"/>
    <d v="2025-03-25T00:00:00"/>
    <x v="2"/>
    <x v="0"/>
    <x v="0"/>
    <x v="0"/>
    <x v="3"/>
    <x v="3"/>
    <x v="12"/>
    <x v="2"/>
  </r>
  <r>
    <x v="2241"/>
    <x v="8"/>
    <x v="2"/>
    <n v="19.100000000000001"/>
    <x v="1281"/>
    <x v="82"/>
    <d v="2025-03-26T00:00:00"/>
    <x v="1"/>
    <x v="0"/>
    <x v="1"/>
    <x v="0"/>
    <x v="3"/>
    <x v="1"/>
    <x v="12"/>
    <x v="1"/>
  </r>
  <r>
    <x v="2242"/>
    <x v="10"/>
    <x v="0"/>
    <n v="29.6"/>
    <x v="1678"/>
    <x v="82"/>
    <d v="2025-03-28T00:00:00"/>
    <x v="1"/>
    <x v="0"/>
    <x v="4"/>
    <x v="0"/>
    <x v="3"/>
    <x v="5"/>
    <x v="12"/>
    <x v="1"/>
  </r>
  <r>
    <x v="2243"/>
    <x v="8"/>
    <x v="1"/>
    <n v="18.899999999999999"/>
    <x v="463"/>
    <x v="82"/>
    <d v="2025-03-26T00:00:00"/>
    <x v="2"/>
    <x v="4"/>
    <x v="2"/>
    <x v="0"/>
    <x v="3"/>
    <x v="1"/>
    <x v="12"/>
    <x v="2"/>
  </r>
  <r>
    <x v="2244"/>
    <x v="10"/>
    <x v="9"/>
    <n v="41.4"/>
    <x v="461"/>
    <x v="82"/>
    <d v="2025-03-25T00:00:00"/>
    <x v="1"/>
    <x v="3"/>
    <x v="0"/>
    <x v="0"/>
    <x v="3"/>
    <x v="3"/>
    <x v="12"/>
    <x v="1"/>
  </r>
  <r>
    <x v="2245"/>
    <x v="2"/>
    <x v="0"/>
    <n v="118.4"/>
    <x v="1250"/>
    <x v="82"/>
    <d v="2025-03-25T00:00:00"/>
    <x v="2"/>
    <x v="0"/>
    <x v="2"/>
    <x v="0"/>
    <x v="3"/>
    <x v="3"/>
    <x v="12"/>
    <x v="2"/>
  </r>
  <r>
    <x v="2246"/>
    <x v="2"/>
    <x v="1"/>
    <n v="125.3"/>
    <x v="1679"/>
    <x v="82"/>
    <d v="2025-03-27T00:00:00"/>
    <x v="2"/>
    <x v="0"/>
    <x v="2"/>
    <x v="0"/>
    <x v="3"/>
    <x v="2"/>
    <x v="12"/>
    <x v="2"/>
  </r>
  <r>
    <x v="2247"/>
    <x v="3"/>
    <x v="1"/>
    <n v="85.8"/>
    <x v="1512"/>
    <x v="82"/>
    <d v="2025-03-25T00:00:00"/>
    <x v="2"/>
    <x v="1"/>
    <x v="4"/>
    <x v="0"/>
    <x v="3"/>
    <x v="3"/>
    <x v="12"/>
    <x v="2"/>
  </r>
  <r>
    <x v="2248"/>
    <x v="6"/>
    <x v="0"/>
    <n v="44.2"/>
    <x v="573"/>
    <x v="82"/>
    <d v="2025-03-27T00:00:00"/>
    <x v="1"/>
    <x v="1"/>
    <x v="0"/>
    <x v="0"/>
    <x v="3"/>
    <x v="2"/>
    <x v="12"/>
    <x v="1"/>
  </r>
  <r>
    <x v="2249"/>
    <x v="5"/>
    <x v="12"/>
    <n v="74.099999999999994"/>
    <x v="764"/>
    <x v="82"/>
    <d v="2025-03-26T00:00:00"/>
    <x v="2"/>
    <x v="0"/>
    <x v="0"/>
    <x v="0"/>
    <x v="3"/>
    <x v="1"/>
    <x v="12"/>
    <x v="2"/>
  </r>
  <r>
    <x v="2250"/>
    <x v="8"/>
    <x v="0"/>
    <n v="33.799999999999997"/>
    <x v="1680"/>
    <x v="82"/>
    <d v="2025-03-25T00:00:00"/>
    <x v="2"/>
    <x v="2"/>
    <x v="2"/>
    <x v="0"/>
    <x v="24"/>
    <x v="3"/>
    <x v="12"/>
    <x v="2"/>
  </r>
  <r>
    <x v="2251"/>
    <x v="1"/>
    <x v="1"/>
    <n v="39.1"/>
    <x v="1148"/>
    <x v="82"/>
    <d v="2025-03-25T00:00:00"/>
    <x v="1"/>
    <x v="0"/>
    <x v="1"/>
    <x v="0"/>
    <x v="24"/>
    <x v="3"/>
    <x v="12"/>
    <x v="1"/>
  </r>
  <r>
    <x v="2252"/>
    <x v="0"/>
    <x v="0"/>
    <n v="37.200000000000003"/>
    <x v="804"/>
    <x v="82"/>
    <d v="2025-03-25T00:00:00"/>
    <x v="1"/>
    <x v="0"/>
    <x v="1"/>
    <x v="0"/>
    <x v="16"/>
    <x v="3"/>
    <x v="12"/>
    <x v="1"/>
  </r>
  <r>
    <x v="2253"/>
    <x v="15"/>
    <x v="2"/>
    <n v="33.9"/>
    <x v="1681"/>
    <x v="82"/>
    <d v="2025-03-26T00:00:00"/>
    <x v="1"/>
    <x v="2"/>
    <x v="0"/>
    <x v="0"/>
    <x v="6"/>
    <x v="1"/>
    <x v="12"/>
    <x v="1"/>
  </r>
  <r>
    <x v="2254"/>
    <x v="7"/>
    <x v="20"/>
    <n v="73.3"/>
    <x v="1682"/>
    <x v="82"/>
    <d v="2025-03-27T00:00:00"/>
    <x v="2"/>
    <x v="2"/>
    <x v="1"/>
    <x v="0"/>
    <x v="8"/>
    <x v="2"/>
    <x v="12"/>
    <x v="2"/>
  </r>
  <r>
    <x v="2255"/>
    <x v="8"/>
    <x v="12"/>
    <n v="35"/>
    <x v="1683"/>
    <x v="82"/>
    <d v="2025-03-26T00:00:00"/>
    <x v="2"/>
    <x v="1"/>
    <x v="0"/>
    <x v="0"/>
    <x v="8"/>
    <x v="1"/>
    <x v="12"/>
    <x v="2"/>
  </r>
  <r>
    <x v="2256"/>
    <x v="0"/>
    <x v="2"/>
    <n v="22.2"/>
    <x v="815"/>
    <x v="82"/>
    <d v="2025-03-25T00:00:00"/>
    <x v="1"/>
    <x v="1"/>
    <x v="0"/>
    <x v="0"/>
    <x v="17"/>
    <x v="3"/>
    <x v="12"/>
    <x v="1"/>
  </r>
  <r>
    <x v="2257"/>
    <x v="10"/>
    <x v="0"/>
    <n v="32.4"/>
    <x v="1684"/>
    <x v="82"/>
    <d v="2025-03-25T00:00:00"/>
    <x v="2"/>
    <x v="0"/>
    <x v="0"/>
    <x v="0"/>
    <x v="11"/>
    <x v="3"/>
    <x v="12"/>
    <x v="2"/>
  </r>
  <r>
    <x v="2258"/>
    <x v="5"/>
    <x v="2"/>
    <n v="88.4"/>
    <x v="1685"/>
    <x v="83"/>
    <d v="2025-03-27T00:00:00"/>
    <x v="2"/>
    <x v="1"/>
    <x v="1"/>
    <x v="0"/>
    <x v="11"/>
    <x v="1"/>
    <x v="12"/>
    <x v="2"/>
  </r>
  <r>
    <x v="2259"/>
    <x v="5"/>
    <x v="27"/>
    <n v="30.5"/>
    <x v="865"/>
    <x v="83"/>
    <d v="2025-03-26T00:00:00"/>
    <x v="2"/>
    <x v="2"/>
    <x v="0"/>
    <x v="0"/>
    <x v="11"/>
    <x v="3"/>
    <x v="12"/>
    <x v="2"/>
  </r>
  <r>
    <x v="2260"/>
    <x v="1"/>
    <x v="13"/>
    <n v="38.1"/>
    <x v="1686"/>
    <x v="83"/>
    <d v="2025-03-27T00:00:00"/>
    <x v="2"/>
    <x v="0"/>
    <x v="1"/>
    <x v="0"/>
    <x v="11"/>
    <x v="1"/>
    <x v="12"/>
    <x v="2"/>
  </r>
  <r>
    <x v="2261"/>
    <x v="10"/>
    <x v="9"/>
    <n v="37.6"/>
    <x v="885"/>
    <x v="83"/>
    <d v="2025-03-29T00:00:00"/>
    <x v="1"/>
    <x v="0"/>
    <x v="0"/>
    <x v="0"/>
    <x v="11"/>
    <x v="5"/>
    <x v="12"/>
    <x v="1"/>
  </r>
  <r>
    <x v="2262"/>
    <x v="15"/>
    <x v="1"/>
    <n v="31.4"/>
    <x v="143"/>
    <x v="83"/>
    <d v="2025-03-26T00:00:00"/>
    <x v="1"/>
    <x v="0"/>
    <x v="2"/>
    <x v="0"/>
    <x v="11"/>
    <x v="3"/>
    <x v="12"/>
    <x v="1"/>
  </r>
  <r>
    <x v="2263"/>
    <x v="6"/>
    <x v="1"/>
    <n v="61.5"/>
    <x v="1287"/>
    <x v="83"/>
    <d v="2025-03-26T00:00:00"/>
    <x v="1"/>
    <x v="3"/>
    <x v="0"/>
    <x v="0"/>
    <x v="31"/>
    <x v="3"/>
    <x v="12"/>
    <x v="1"/>
  </r>
  <r>
    <x v="2264"/>
    <x v="6"/>
    <x v="0"/>
    <n v="72.599999999999994"/>
    <x v="1325"/>
    <x v="83"/>
    <d v="2025-03-26T00:00:00"/>
    <x v="1"/>
    <x v="0"/>
    <x v="1"/>
    <x v="0"/>
    <x v="21"/>
    <x v="3"/>
    <x v="12"/>
    <x v="1"/>
  </r>
  <r>
    <x v="2265"/>
    <x v="9"/>
    <x v="2"/>
    <n v="26.9"/>
    <x v="1687"/>
    <x v="83"/>
    <d v="2025-03-30T00:00:00"/>
    <x v="3"/>
    <x v="4"/>
    <x v="1"/>
    <x v="0"/>
    <x v="46"/>
    <x v="0"/>
    <x v="12"/>
    <x v="3"/>
  </r>
  <r>
    <x v="2266"/>
    <x v="17"/>
    <x v="4"/>
    <n v="29.4"/>
    <x v="1688"/>
    <x v="83"/>
    <d v="2025-03-26T00:00:00"/>
    <x v="2"/>
    <x v="1"/>
    <x v="0"/>
    <x v="0"/>
    <x v="51"/>
    <x v="3"/>
    <x v="12"/>
    <x v="2"/>
  </r>
  <r>
    <x v="2267"/>
    <x v="17"/>
    <x v="1"/>
    <n v="42.1"/>
    <x v="903"/>
    <x v="83"/>
    <d v="2025-03-26T00:00:00"/>
    <x v="2"/>
    <x v="3"/>
    <x v="1"/>
    <x v="0"/>
    <x v="1"/>
    <x v="3"/>
    <x v="12"/>
    <x v="2"/>
  </r>
  <r>
    <x v="2268"/>
    <x v="5"/>
    <x v="0"/>
    <n v="40.5"/>
    <x v="1117"/>
    <x v="83"/>
    <d v="2025-03-26T00:00:00"/>
    <x v="2"/>
    <x v="2"/>
    <x v="1"/>
    <x v="0"/>
    <x v="1"/>
    <x v="3"/>
    <x v="12"/>
    <x v="2"/>
  </r>
  <r>
    <x v="2269"/>
    <x v="2"/>
    <x v="12"/>
    <n v="182.3"/>
    <x v="1689"/>
    <x v="83"/>
    <d v="2025-03-26T00:00:00"/>
    <x v="2"/>
    <x v="1"/>
    <x v="0"/>
    <x v="0"/>
    <x v="1"/>
    <x v="3"/>
    <x v="12"/>
    <x v="2"/>
  </r>
  <r>
    <x v="2270"/>
    <x v="2"/>
    <x v="9"/>
    <n v="157"/>
    <x v="1690"/>
    <x v="83"/>
    <d v="2025-03-28T00:00:00"/>
    <x v="2"/>
    <x v="1"/>
    <x v="2"/>
    <x v="0"/>
    <x v="2"/>
    <x v="2"/>
    <x v="12"/>
    <x v="2"/>
  </r>
  <r>
    <x v="2271"/>
    <x v="17"/>
    <x v="9"/>
    <n v="45.2"/>
    <x v="326"/>
    <x v="83"/>
    <d v="2025-03-28T00:00:00"/>
    <x v="2"/>
    <x v="1"/>
    <x v="0"/>
    <x v="0"/>
    <x v="22"/>
    <x v="2"/>
    <x v="12"/>
    <x v="2"/>
  </r>
  <r>
    <x v="2272"/>
    <x v="15"/>
    <x v="12"/>
    <n v="27.4"/>
    <x v="1239"/>
    <x v="83"/>
    <d v="2025-03-27T00:00:00"/>
    <x v="2"/>
    <x v="0"/>
    <x v="0"/>
    <x v="0"/>
    <x v="3"/>
    <x v="1"/>
    <x v="12"/>
    <x v="2"/>
  </r>
  <r>
    <x v="2273"/>
    <x v="5"/>
    <x v="9"/>
    <n v="34.1"/>
    <x v="1691"/>
    <x v="83"/>
    <d v="2025-03-27T00:00:00"/>
    <x v="1"/>
    <x v="0"/>
    <x v="2"/>
    <x v="0"/>
    <x v="3"/>
    <x v="1"/>
    <x v="12"/>
    <x v="1"/>
  </r>
  <r>
    <x v="2274"/>
    <x v="0"/>
    <x v="1"/>
    <n v="26"/>
    <x v="1692"/>
    <x v="83"/>
    <d v="2025-03-27T00:00:00"/>
    <x v="1"/>
    <x v="2"/>
    <x v="1"/>
    <x v="0"/>
    <x v="3"/>
    <x v="1"/>
    <x v="12"/>
    <x v="1"/>
  </r>
  <r>
    <x v="2275"/>
    <x v="8"/>
    <x v="3"/>
    <n v="19.399999999999999"/>
    <x v="1693"/>
    <x v="83"/>
    <d v="2025-03-27T00:00:00"/>
    <x v="0"/>
    <x v="1"/>
    <x v="1"/>
    <x v="0"/>
    <x v="3"/>
    <x v="1"/>
    <x v="12"/>
    <x v="0"/>
  </r>
  <r>
    <x v="2276"/>
    <x v="16"/>
    <x v="2"/>
    <n v="30.3"/>
    <x v="407"/>
    <x v="83"/>
    <d v="2025-03-28T00:00:00"/>
    <x v="2"/>
    <x v="1"/>
    <x v="2"/>
    <x v="0"/>
    <x v="3"/>
    <x v="2"/>
    <x v="12"/>
    <x v="2"/>
  </r>
  <r>
    <x v="2277"/>
    <x v="2"/>
    <x v="2"/>
    <n v="101.4"/>
    <x v="1694"/>
    <x v="83"/>
    <d v="2025-03-26T00:00:00"/>
    <x v="1"/>
    <x v="0"/>
    <x v="0"/>
    <x v="0"/>
    <x v="3"/>
    <x v="3"/>
    <x v="12"/>
    <x v="1"/>
  </r>
  <r>
    <x v="2278"/>
    <x v="3"/>
    <x v="9"/>
    <n v="55.5"/>
    <x v="819"/>
    <x v="83"/>
    <d v="2025-03-28T00:00:00"/>
    <x v="1"/>
    <x v="1"/>
    <x v="0"/>
    <x v="0"/>
    <x v="24"/>
    <x v="2"/>
    <x v="12"/>
    <x v="1"/>
  </r>
  <r>
    <x v="2279"/>
    <x v="8"/>
    <x v="0"/>
    <n v="23.1"/>
    <x v="1695"/>
    <x v="83"/>
    <d v="2025-03-26T00:00:00"/>
    <x v="1"/>
    <x v="0"/>
    <x v="0"/>
    <x v="0"/>
    <x v="25"/>
    <x v="3"/>
    <x v="12"/>
    <x v="1"/>
  </r>
  <r>
    <x v="2280"/>
    <x v="18"/>
    <x v="1"/>
    <n v="38.9"/>
    <x v="482"/>
    <x v="83"/>
    <d v="2025-03-26T00:00:00"/>
    <x v="1"/>
    <x v="2"/>
    <x v="0"/>
    <x v="0"/>
    <x v="25"/>
    <x v="3"/>
    <x v="12"/>
    <x v="1"/>
  </r>
  <r>
    <x v="2281"/>
    <x v="6"/>
    <x v="11"/>
    <n v="116.3"/>
    <x v="1696"/>
    <x v="83"/>
    <d v="2025-03-29T00:00:00"/>
    <x v="2"/>
    <x v="0"/>
    <x v="0"/>
    <x v="0"/>
    <x v="5"/>
    <x v="5"/>
    <x v="12"/>
    <x v="2"/>
  </r>
  <r>
    <x v="2282"/>
    <x v="16"/>
    <x v="11"/>
    <n v="64.099999999999994"/>
    <x v="1697"/>
    <x v="83"/>
    <d v="2025-03-25T00:00:00"/>
    <x v="2"/>
    <x v="0"/>
    <x v="2"/>
    <x v="0"/>
    <x v="6"/>
    <x v="7"/>
    <x v="12"/>
    <x v="2"/>
  </r>
  <r>
    <x v="2283"/>
    <x v="2"/>
    <x v="13"/>
    <n v="109.2"/>
    <x v="1698"/>
    <x v="83"/>
    <d v="2025-03-27T00:00:00"/>
    <x v="1"/>
    <x v="0"/>
    <x v="1"/>
    <x v="0"/>
    <x v="8"/>
    <x v="1"/>
    <x v="12"/>
    <x v="1"/>
  </r>
  <r>
    <x v="2284"/>
    <x v="10"/>
    <x v="9"/>
    <n v="23.2"/>
    <x v="1699"/>
    <x v="84"/>
    <d v="2025-03-27T00:00:00"/>
    <x v="1"/>
    <x v="0"/>
    <x v="1"/>
    <x v="0"/>
    <x v="8"/>
    <x v="3"/>
    <x v="12"/>
    <x v="1"/>
  </r>
  <r>
    <x v="2285"/>
    <x v="18"/>
    <x v="13"/>
    <n v="81.2"/>
    <x v="1700"/>
    <x v="84"/>
    <d v="2025-03-28T00:00:00"/>
    <x v="1"/>
    <x v="2"/>
    <x v="2"/>
    <x v="0"/>
    <x v="8"/>
    <x v="1"/>
    <x v="12"/>
    <x v="1"/>
  </r>
  <r>
    <x v="2286"/>
    <x v="1"/>
    <x v="21"/>
    <n v="35.700000000000003"/>
    <x v="1701"/>
    <x v="84"/>
    <d v="2025-03-27T00:00:00"/>
    <x v="1"/>
    <x v="3"/>
    <x v="0"/>
    <x v="0"/>
    <x v="8"/>
    <x v="3"/>
    <x v="12"/>
    <x v="1"/>
  </r>
  <r>
    <x v="2287"/>
    <x v="7"/>
    <x v="1"/>
    <n v="44.5"/>
    <x v="1702"/>
    <x v="84"/>
    <d v="2025-03-29T00:00:00"/>
    <x v="1"/>
    <x v="4"/>
    <x v="0"/>
    <x v="0"/>
    <x v="9"/>
    <x v="2"/>
    <x v="12"/>
    <x v="1"/>
  </r>
  <r>
    <x v="2288"/>
    <x v="1"/>
    <x v="9"/>
    <n v="32"/>
    <x v="444"/>
    <x v="84"/>
    <d v="2025-03-28T00:00:00"/>
    <x v="3"/>
    <x v="1"/>
    <x v="1"/>
    <x v="0"/>
    <x v="9"/>
    <x v="1"/>
    <x v="12"/>
    <x v="3"/>
  </r>
  <r>
    <x v="2289"/>
    <x v="8"/>
    <x v="0"/>
    <n v="25.7"/>
    <x v="1703"/>
    <x v="84"/>
    <d v="2025-03-27T00:00:00"/>
    <x v="1"/>
    <x v="0"/>
    <x v="0"/>
    <x v="0"/>
    <x v="10"/>
    <x v="3"/>
    <x v="12"/>
    <x v="1"/>
  </r>
  <r>
    <x v="2290"/>
    <x v="16"/>
    <x v="2"/>
    <n v="65.599999999999994"/>
    <x v="487"/>
    <x v="84"/>
    <d v="2025-04-01T00:00:00"/>
    <x v="1"/>
    <x v="0"/>
    <x v="0"/>
    <x v="0"/>
    <x v="11"/>
    <x v="4"/>
    <x v="12"/>
    <x v="1"/>
  </r>
  <r>
    <x v="2291"/>
    <x v="1"/>
    <x v="12"/>
    <n v="52.1"/>
    <x v="1704"/>
    <x v="84"/>
    <d v="2025-03-27T00:00:00"/>
    <x v="2"/>
    <x v="0"/>
    <x v="2"/>
    <x v="0"/>
    <x v="11"/>
    <x v="3"/>
    <x v="12"/>
    <x v="2"/>
  </r>
  <r>
    <x v="2292"/>
    <x v="8"/>
    <x v="0"/>
    <n v="31"/>
    <x v="1705"/>
    <x v="84"/>
    <d v="2025-03-27T00:00:00"/>
    <x v="1"/>
    <x v="0"/>
    <x v="1"/>
    <x v="0"/>
    <x v="19"/>
    <x v="3"/>
    <x v="12"/>
    <x v="1"/>
  </r>
  <r>
    <x v="2293"/>
    <x v="8"/>
    <x v="0"/>
    <n v="32"/>
    <x v="109"/>
    <x v="84"/>
    <d v="2025-03-28T00:00:00"/>
    <x v="3"/>
    <x v="3"/>
    <x v="1"/>
    <x v="0"/>
    <x v="31"/>
    <x v="1"/>
    <x v="12"/>
    <x v="3"/>
  </r>
  <r>
    <x v="2294"/>
    <x v="16"/>
    <x v="12"/>
    <n v="58.3"/>
    <x v="1706"/>
    <x v="84"/>
    <d v="2025-03-30T00:00:00"/>
    <x v="1"/>
    <x v="1"/>
    <x v="4"/>
    <x v="0"/>
    <x v="20"/>
    <x v="5"/>
    <x v="12"/>
    <x v="1"/>
  </r>
  <r>
    <x v="2295"/>
    <x v="8"/>
    <x v="2"/>
    <n v="31"/>
    <x v="1707"/>
    <x v="84"/>
    <d v="2025-03-28T00:00:00"/>
    <x v="2"/>
    <x v="2"/>
    <x v="4"/>
    <x v="0"/>
    <x v="13"/>
    <x v="1"/>
    <x v="12"/>
    <x v="2"/>
  </r>
  <r>
    <x v="2296"/>
    <x v="3"/>
    <x v="0"/>
    <n v="40.299999999999997"/>
    <x v="518"/>
    <x v="84"/>
    <d v="2025-03-27T00:00:00"/>
    <x v="1"/>
    <x v="1"/>
    <x v="2"/>
    <x v="0"/>
    <x v="54"/>
    <x v="3"/>
    <x v="12"/>
    <x v="1"/>
  </r>
  <r>
    <x v="2297"/>
    <x v="6"/>
    <x v="2"/>
    <n v="47.3"/>
    <x v="1708"/>
    <x v="84"/>
    <d v="2025-03-28T00:00:00"/>
    <x v="1"/>
    <x v="4"/>
    <x v="2"/>
    <x v="0"/>
    <x v="2"/>
    <x v="1"/>
    <x v="12"/>
    <x v="1"/>
  </r>
  <r>
    <x v="2298"/>
    <x v="2"/>
    <x v="0"/>
    <n v="82.8"/>
    <x v="1182"/>
    <x v="84"/>
    <d v="2025-03-27T00:00:00"/>
    <x v="1"/>
    <x v="0"/>
    <x v="0"/>
    <x v="0"/>
    <x v="2"/>
    <x v="3"/>
    <x v="12"/>
    <x v="1"/>
  </r>
  <r>
    <x v="2299"/>
    <x v="8"/>
    <x v="0"/>
    <n v="18.5"/>
    <x v="1709"/>
    <x v="84"/>
    <d v="2025-04-09T00:00:00"/>
    <x v="2"/>
    <x v="0"/>
    <x v="0"/>
    <x v="0"/>
    <x v="44"/>
    <x v="12"/>
    <x v="12"/>
    <x v="2"/>
  </r>
  <r>
    <x v="2300"/>
    <x v="3"/>
    <x v="1"/>
    <n v="60.4"/>
    <x v="1710"/>
    <x v="84"/>
    <d v="2025-03-27T00:00:00"/>
    <x v="1"/>
    <x v="2"/>
    <x v="0"/>
    <x v="0"/>
    <x v="22"/>
    <x v="3"/>
    <x v="12"/>
    <x v="1"/>
  </r>
  <r>
    <x v="2301"/>
    <x v="6"/>
    <x v="9"/>
    <n v="80.2"/>
    <x v="1711"/>
    <x v="84"/>
    <d v="2025-04-02T00:00:00"/>
    <x v="1"/>
    <x v="1"/>
    <x v="1"/>
    <x v="0"/>
    <x v="50"/>
    <x v="6"/>
    <x v="12"/>
    <x v="1"/>
  </r>
  <r>
    <x v="2302"/>
    <x v="4"/>
    <x v="0"/>
    <n v="41.5"/>
    <x v="1712"/>
    <x v="84"/>
    <d v="2025-03-28T00:00:00"/>
    <x v="1"/>
    <x v="2"/>
    <x v="0"/>
    <x v="0"/>
    <x v="3"/>
    <x v="1"/>
    <x v="12"/>
    <x v="1"/>
  </r>
  <r>
    <x v="2303"/>
    <x v="2"/>
    <x v="1"/>
    <n v="83.9"/>
    <x v="1713"/>
    <x v="84"/>
    <d v="2025-03-29T00:00:00"/>
    <x v="2"/>
    <x v="0"/>
    <x v="0"/>
    <x v="0"/>
    <x v="3"/>
    <x v="2"/>
    <x v="12"/>
    <x v="2"/>
  </r>
  <r>
    <x v="2304"/>
    <x v="8"/>
    <x v="1"/>
    <n v="16.7"/>
    <x v="1417"/>
    <x v="84"/>
    <d v="2025-03-30T00:00:00"/>
    <x v="2"/>
    <x v="0"/>
    <x v="1"/>
    <x v="0"/>
    <x v="3"/>
    <x v="5"/>
    <x v="12"/>
    <x v="2"/>
  </r>
  <r>
    <x v="2305"/>
    <x v="9"/>
    <x v="1"/>
    <n v="72.900000000000006"/>
    <x v="1626"/>
    <x v="84"/>
    <d v="2025-03-27T00:00:00"/>
    <x v="1"/>
    <x v="2"/>
    <x v="1"/>
    <x v="0"/>
    <x v="3"/>
    <x v="3"/>
    <x v="12"/>
    <x v="1"/>
  </r>
  <r>
    <x v="2306"/>
    <x v="5"/>
    <x v="1"/>
    <n v="50.2"/>
    <x v="862"/>
    <x v="84"/>
    <d v="2025-03-28T00:00:00"/>
    <x v="2"/>
    <x v="1"/>
    <x v="2"/>
    <x v="0"/>
    <x v="3"/>
    <x v="1"/>
    <x v="12"/>
    <x v="2"/>
  </r>
  <r>
    <x v="2307"/>
    <x v="3"/>
    <x v="1"/>
    <n v="34.200000000000003"/>
    <x v="1714"/>
    <x v="84"/>
    <d v="2025-04-05T00:00:00"/>
    <x v="0"/>
    <x v="1"/>
    <x v="0"/>
    <x v="0"/>
    <x v="3"/>
    <x v="14"/>
    <x v="12"/>
    <x v="0"/>
  </r>
  <r>
    <x v="2308"/>
    <x v="5"/>
    <x v="1"/>
    <n v="107.9"/>
    <x v="1715"/>
    <x v="84"/>
    <d v="2025-03-26T00:00:00"/>
    <x v="1"/>
    <x v="1"/>
    <x v="4"/>
    <x v="0"/>
    <x v="3"/>
    <x v="7"/>
    <x v="12"/>
    <x v="1"/>
  </r>
  <r>
    <x v="2309"/>
    <x v="0"/>
    <x v="2"/>
    <n v="17.5"/>
    <x v="413"/>
    <x v="84"/>
    <d v="2025-03-28T00:00:00"/>
    <x v="1"/>
    <x v="4"/>
    <x v="0"/>
    <x v="0"/>
    <x v="3"/>
    <x v="1"/>
    <x v="12"/>
    <x v="1"/>
  </r>
  <r>
    <x v="2310"/>
    <x v="13"/>
    <x v="20"/>
    <n v="44.7"/>
    <x v="1716"/>
    <x v="84"/>
    <d v="2025-03-27T00:00:00"/>
    <x v="1"/>
    <x v="0"/>
    <x v="1"/>
    <x v="0"/>
    <x v="3"/>
    <x v="3"/>
    <x v="12"/>
    <x v="1"/>
  </r>
  <r>
    <x v="2311"/>
    <x v="12"/>
    <x v="13"/>
    <n v="92.7"/>
    <x v="1717"/>
    <x v="84"/>
    <d v="2025-03-28T00:00:00"/>
    <x v="2"/>
    <x v="2"/>
    <x v="1"/>
    <x v="0"/>
    <x v="3"/>
    <x v="1"/>
    <x v="12"/>
    <x v="2"/>
  </r>
  <r>
    <x v="2312"/>
    <x v="7"/>
    <x v="2"/>
    <n v="48.8"/>
    <x v="1718"/>
    <x v="84"/>
    <d v="2025-03-28T00:00:00"/>
    <x v="2"/>
    <x v="2"/>
    <x v="0"/>
    <x v="0"/>
    <x v="3"/>
    <x v="1"/>
    <x v="12"/>
    <x v="2"/>
  </r>
  <r>
    <x v="2313"/>
    <x v="4"/>
    <x v="27"/>
    <n v="21.3"/>
    <x v="1153"/>
    <x v="84"/>
    <d v="2025-03-30T00:00:00"/>
    <x v="2"/>
    <x v="3"/>
    <x v="3"/>
    <x v="0"/>
    <x v="3"/>
    <x v="5"/>
    <x v="12"/>
    <x v="2"/>
  </r>
  <r>
    <x v="2314"/>
    <x v="16"/>
    <x v="0"/>
    <n v="52.5"/>
    <x v="413"/>
    <x v="84"/>
    <d v="2025-03-27T00:00:00"/>
    <x v="2"/>
    <x v="0"/>
    <x v="0"/>
    <x v="0"/>
    <x v="3"/>
    <x v="3"/>
    <x v="12"/>
    <x v="2"/>
  </r>
  <r>
    <x v="2315"/>
    <x v="1"/>
    <x v="1"/>
    <n v="92.4"/>
    <x v="827"/>
    <x v="84"/>
    <d v="2025-04-01T00:00:00"/>
    <x v="2"/>
    <x v="0"/>
    <x v="2"/>
    <x v="0"/>
    <x v="3"/>
    <x v="4"/>
    <x v="12"/>
    <x v="2"/>
  </r>
  <r>
    <x v="2316"/>
    <x v="4"/>
    <x v="5"/>
    <n v="58.3"/>
    <x v="1719"/>
    <x v="84"/>
    <d v="2025-03-28T00:00:00"/>
    <x v="1"/>
    <x v="1"/>
    <x v="2"/>
    <x v="0"/>
    <x v="3"/>
    <x v="1"/>
    <x v="12"/>
    <x v="1"/>
  </r>
  <r>
    <x v="2317"/>
    <x v="6"/>
    <x v="44"/>
    <n v="152.6"/>
    <x v="1720"/>
    <x v="85"/>
    <d v="2025-03-29T00:00:00"/>
    <x v="0"/>
    <x v="0"/>
    <x v="0"/>
    <x v="0"/>
    <x v="3"/>
    <x v="1"/>
    <x v="12"/>
    <x v="0"/>
  </r>
  <r>
    <x v="2318"/>
    <x v="8"/>
    <x v="1"/>
    <n v="26"/>
    <x v="1692"/>
    <x v="85"/>
    <d v="2025-03-27T00:00:00"/>
    <x v="0"/>
    <x v="0"/>
    <x v="1"/>
    <x v="0"/>
    <x v="3"/>
    <x v="7"/>
    <x v="12"/>
    <x v="0"/>
  </r>
  <r>
    <x v="2319"/>
    <x v="1"/>
    <x v="12"/>
    <n v="33.1"/>
    <x v="979"/>
    <x v="85"/>
    <d v="2025-03-27T00:00:00"/>
    <x v="1"/>
    <x v="2"/>
    <x v="4"/>
    <x v="0"/>
    <x v="5"/>
    <x v="7"/>
    <x v="12"/>
    <x v="1"/>
  </r>
  <r>
    <x v="2320"/>
    <x v="18"/>
    <x v="0"/>
    <n v="51.4"/>
    <x v="1045"/>
    <x v="85"/>
    <d v="2025-03-29T00:00:00"/>
    <x v="2"/>
    <x v="1"/>
    <x v="1"/>
    <x v="0"/>
    <x v="5"/>
    <x v="1"/>
    <x v="12"/>
    <x v="2"/>
  </r>
  <r>
    <x v="2321"/>
    <x v="8"/>
    <x v="1"/>
    <n v="30.2"/>
    <x v="266"/>
    <x v="85"/>
    <d v="2025-03-28T00:00:00"/>
    <x v="2"/>
    <x v="2"/>
    <x v="2"/>
    <x v="0"/>
    <x v="6"/>
    <x v="3"/>
    <x v="12"/>
    <x v="2"/>
  </r>
  <r>
    <x v="2322"/>
    <x v="2"/>
    <x v="13"/>
    <n v="97"/>
    <x v="1544"/>
    <x v="85"/>
    <d v="2025-03-31T00:00:00"/>
    <x v="2"/>
    <x v="0"/>
    <x v="2"/>
    <x v="0"/>
    <x v="7"/>
    <x v="5"/>
    <x v="12"/>
    <x v="2"/>
  </r>
  <r>
    <x v="2323"/>
    <x v="2"/>
    <x v="0"/>
    <n v="76.900000000000006"/>
    <x v="1721"/>
    <x v="85"/>
    <d v="2025-03-28T00:00:00"/>
    <x v="1"/>
    <x v="1"/>
    <x v="2"/>
    <x v="0"/>
    <x v="8"/>
    <x v="3"/>
    <x v="12"/>
    <x v="1"/>
  </r>
  <r>
    <x v="2324"/>
    <x v="7"/>
    <x v="13"/>
    <n v="36.1"/>
    <x v="1722"/>
    <x v="85"/>
    <d v="2025-03-31T00:00:00"/>
    <x v="2"/>
    <x v="0"/>
    <x v="0"/>
    <x v="0"/>
    <x v="8"/>
    <x v="5"/>
    <x v="12"/>
    <x v="2"/>
  </r>
  <r>
    <x v="2325"/>
    <x v="1"/>
    <x v="3"/>
    <n v="34.4"/>
    <x v="1723"/>
    <x v="85"/>
    <d v="2025-03-27T00:00:00"/>
    <x v="2"/>
    <x v="2"/>
    <x v="1"/>
    <x v="0"/>
    <x v="11"/>
    <x v="7"/>
    <x v="12"/>
    <x v="2"/>
  </r>
  <r>
    <x v="2326"/>
    <x v="1"/>
    <x v="31"/>
    <n v="53.4"/>
    <x v="1724"/>
    <x v="85"/>
    <d v="2025-03-29T00:00:00"/>
    <x v="2"/>
    <x v="1"/>
    <x v="0"/>
    <x v="0"/>
    <x v="18"/>
    <x v="1"/>
    <x v="12"/>
    <x v="2"/>
  </r>
  <r>
    <x v="2327"/>
    <x v="2"/>
    <x v="0"/>
    <n v="77.599999999999994"/>
    <x v="1598"/>
    <x v="85"/>
    <d v="2025-03-28T00:00:00"/>
    <x v="2"/>
    <x v="0"/>
    <x v="1"/>
    <x v="0"/>
    <x v="19"/>
    <x v="3"/>
    <x v="12"/>
    <x v="2"/>
  </r>
  <r>
    <x v="2328"/>
    <x v="1"/>
    <x v="2"/>
    <n v="71.7"/>
    <x v="1725"/>
    <x v="85"/>
    <d v="2025-03-30T00:00:00"/>
    <x v="2"/>
    <x v="1"/>
    <x v="0"/>
    <x v="0"/>
    <x v="19"/>
    <x v="2"/>
    <x v="12"/>
    <x v="2"/>
  </r>
  <r>
    <x v="2329"/>
    <x v="3"/>
    <x v="2"/>
    <n v="80.599999999999994"/>
    <x v="1726"/>
    <x v="85"/>
    <d v="2025-03-28T00:00:00"/>
    <x v="1"/>
    <x v="4"/>
    <x v="1"/>
    <x v="0"/>
    <x v="19"/>
    <x v="3"/>
    <x v="12"/>
    <x v="1"/>
  </r>
  <r>
    <x v="2330"/>
    <x v="1"/>
    <x v="20"/>
    <n v="70"/>
    <x v="1727"/>
    <x v="85"/>
    <d v="2025-03-29T00:00:00"/>
    <x v="1"/>
    <x v="0"/>
    <x v="0"/>
    <x v="0"/>
    <x v="20"/>
    <x v="1"/>
    <x v="12"/>
    <x v="1"/>
  </r>
  <r>
    <x v="2331"/>
    <x v="4"/>
    <x v="13"/>
    <n v="27.3"/>
    <x v="1728"/>
    <x v="85"/>
    <d v="2025-03-29T00:00:00"/>
    <x v="2"/>
    <x v="1"/>
    <x v="1"/>
    <x v="0"/>
    <x v="2"/>
    <x v="1"/>
    <x v="12"/>
    <x v="2"/>
  </r>
  <r>
    <x v="2332"/>
    <x v="8"/>
    <x v="21"/>
    <n v="37.6"/>
    <x v="1729"/>
    <x v="85"/>
    <d v="2025-03-29T00:00:00"/>
    <x v="1"/>
    <x v="1"/>
    <x v="0"/>
    <x v="0"/>
    <x v="3"/>
    <x v="1"/>
    <x v="12"/>
    <x v="1"/>
  </r>
  <r>
    <x v="2333"/>
    <x v="5"/>
    <x v="2"/>
    <n v="36.6"/>
    <x v="17"/>
    <x v="85"/>
    <d v="2025-03-29T00:00:00"/>
    <x v="2"/>
    <x v="4"/>
    <x v="0"/>
    <x v="0"/>
    <x v="3"/>
    <x v="1"/>
    <x v="12"/>
    <x v="2"/>
  </r>
  <r>
    <x v="2334"/>
    <x v="13"/>
    <x v="0"/>
    <n v="55.2"/>
    <x v="291"/>
    <x v="85"/>
    <d v="2025-03-29T00:00:00"/>
    <x v="1"/>
    <x v="3"/>
    <x v="0"/>
    <x v="0"/>
    <x v="3"/>
    <x v="1"/>
    <x v="12"/>
    <x v="1"/>
  </r>
  <r>
    <x v="2335"/>
    <x v="6"/>
    <x v="9"/>
    <n v="59.9"/>
    <x v="1444"/>
    <x v="85"/>
    <d v="2025-03-29T00:00:00"/>
    <x v="1"/>
    <x v="0"/>
    <x v="0"/>
    <x v="0"/>
    <x v="3"/>
    <x v="1"/>
    <x v="12"/>
    <x v="1"/>
  </r>
  <r>
    <x v="2336"/>
    <x v="6"/>
    <x v="0"/>
    <n v="44"/>
    <x v="945"/>
    <x v="85"/>
    <d v="2025-03-28T00:00:00"/>
    <x v="2"/>
    <x v="2"/>
    <x v="2"/>
    <x v="0"/>
    <x v="3"/>
    <x v="3"/>
    <x v="12"/>
    <x v="2"/>
  </r>
  <r>
    <x v="2337"/>
    <x v="9"/>
    <x v="1"/>
    <n v="68.7"/>
    <x v="1730"/>
    <x v="85"/>
    <d v="2025-03-27T00:00:00"/>
    <x v="1"/>
    <x v="0"/>
    <x v="0"/>
    <x v="0"/>
    <x v="3"/>
    <x v="7"/>
    <x v="12"/>
    <x v="1"/>
  </r>
  <r>
    <x v="2338"/>
    <x v="5"/>
    <x v="1"/>
    <n v="61.6"/>
    <x v="1432"/>
    <x v="85"/>
    <d v="2025-03-31T00:00:00"/>
    <x v="1"/>
    <x v="3"/>
    <x v="1"/>
    <x v="0"/>
    <x v="3"/>
    <x v="5"/>
    <x v="12"/>
    <x v="1"/>
  </r>
  <r>
    <x v="2339"/>
    <x v="7"/>
    <x v="3"/>
    <n v="51.8"/>
    <x v="1731"/>
    <x v="85"/>
    <d v="2025-03-28T00:00:00"/>
    <x v="1"/>
    <x v="0"/>
    <x v="0"/>
    <x v="0"/>
    <x v="3"/>
    <x v="3"/>
    <x v="12"/>
    <x v="1"/>
  </r>
  <r>
    <x v="2340"/>
    <x v="8"/>
    <x v="7"/>
    <n v="46.2"/>
    <x v="1236"/>
    <x v="85"/>
    <d v="2025-03-29T00:00:00"/>
    <x v="1"/>
    <x v="1"/>
    <x v="2"/>
    <x v="0"/>
    <x v="3"/>
    <x v="1"/>
    <x v="12"/>
    <x v="1"/>
  </r>
  <r>
    <x v="2341"/>
    <x v="0"/>
    <x v="1"/>
    <n v="19.399999999999999"/>
    <x v="1732"/>
    <x v="85"/>
    <d v="2025-03-29T00:00:00"/>
    <x v="2"/>
    <x v="1"/>
    <x v="2"/>
    <x v="0"/>
    <x v="6"/>
    <x v="1"/>
    <x v="12"/>
    <x v="2"/>
  </r>
  <r>
    <x v="2342"/>
    <x v="11"/>
    <x v="2"/>
    <n v="52.1"/>
    <x v="1733"/>
    <x v="85"/>
    <d v="2025-03-30T00:00:00"/>
    <x v="1"/>
    <x v="3"/>
    <x v="3"/>
    <x v="0"/>
    <x v="6"/>
    <x v="2"/>
    <x v="12"/>
    <x v="1"/>
  </r>
  <r>
    <x v="2343"/>
    <x v="6"/>
    <x v="0"/>
    <n v="74.900000000000006"/>
    <x v="1734"/>
    <x v="85"/>
    <d v="2025-03-29T00:00:00"/>
    <x v="3"/>
    <x v="0"/>
    <x v="0"/>
    <x v="0"/>
    <x v="7"/>
    <x v="1"/>
    <x v="12"/>
    <x v="3"/>
  </r>
  <r>
    <x v="2344"/>
    <x v="9"/>
    <x v="3"/>
    <n v="49.6"/>
    <x v="1735"/>
    <x v="85"/>
    <d v="2025-03-30T00:00:00"/>
    <x v="2"/>
    <x v="4"/>
    <x v="0"/>
    <x v="0"/>
    <x v="8"/>
    <x v="2"/>
    <x v="12"/>
    <x v="2"/>
  </r>
  <r>
    <x v="2345"/>
    <x v="16"/>
    <x v="12"/>
    <n v="82.8"/>
    <x v="1736"/>
    <x v="86"/>
    <d v="2025-03-31T00:00:00"/>
    <x v="2"/>
    <x v="4"/>
    <x v="0"/>
    <x v="0"/>
    <x v="8"/>
    <x v="2"/>
    <x v="12"/>
    <x v="2"/>
  </r>
  <r>
    <x v="2346"/>
    <x v="2"/>
    <x v="0"/>
    <n v="97.7"/>
    <x v="68"/>
    <x v="86"/>
    <d v="2025-03-29T00:00:00"/>
    <x v="2"/>
    <x v="1"/>
    <x v="0"/>
    <x v="0"/>
    <x v="8"/>
    <x v="3"/>
    <x v="12"/>
    <x v="2"/>
  </r>
  <r>
    <x v="2347"/>
    <x v="6"/>
    <x v="9"/>
    <n v="83.6"/>
    <x v="378"/>
    <x v="86"/>
    <d v="2025-03-29T00:00:00"/>
    <x v="2"/>
    <x v="4"/>
    <x v="0"/>
    <x v="0"/>
    <x v="8"/>
    <x v="3"/>
    <x v="12"/>
    <x v="2"/>
  </r>
  <r>
    <x v="2348"/>
    <x v="8"/>
    <x v="9"/>
    <n v="23.5"/>
    <x v="1737"/>
    <x v="86"/>
    <d v="2025-04-01T00:00:00"/>
    <x v="3"/>
    <x v="0"/>
    <x v="0"/>
    <x v="0"/>
    <x v="8"/>
    <x v="5"/>
    <x v="12"/>
    <x v="3"/>
  </r>
  <r>
    <x v="2349"/>
    <x v="9"/>
    <x v="2"/>
    <n v="44.6"/>
    <x v="981"/>
    <x v="86"/>
    <d v="2025-03-31T00:00:00"/>
    <x v="2"/>
    <x v="4"/>
    <x v="1"/>
    <x v="0"/>
    <x v="26"/>
    <x v="2"/>
    <x v="12"/>
    <x v="2"/>
  </r>
  <r>
    <x v="2350"/>
    <x v="0"/>
    <x v="2"/>
    <n v="20.100000000000001"/>
    <x v="1738"/>
    <x v="86"/>
    <d v="2025-03-30T00:00:00"/>
    <x v="2"/>
    <x v="3"/>
    <x v="4"/>
    <x v="0"/>
    <x v="11"/>
    <x v="1"/>
    <x v="12"/>
    <x v="2"/>
  </r>
  <r>
    <x v="2351"/>
    <x v="2"/>
    <x v="9"/>
    <n v="153.6"/>
    <x v="1739"/>
    <x v="86"/>
    <d v="2025-03-29T00:00:00"/>
    <x v="2"/>
    <x v="1"/>
    <x v="2"/>
    <x v="0"/>
    <x v="53"/>
    <x v="3"/>
    <x v="12"/>
    <x v="2"/>
  </r>
  <r>
    <x v="2352"/>
    <x v="1"/>
    <x v="1"/>
    <n v="71.8"/>
    <x v="897"/>
    <x v="86"/>
    <d v="2025-04-01T00:00:00"/>
    <x v="2"/>
    <x v="1"/>
    <x v="0"/>
    <x v="0"/>
    <x v="1"/>
    <x v="5"/>
    <x v="12"/>
    <x v="2"/>
  </r>
  <r>
    <x v="2353"/>
    <x v="10"/>
    <x v="0"/>
    <n v="64.7"/>
    <x v="1740"/>
    <x v="86"/>
    <d v="2025-03-30T00:00:00"/>
    <x v="0"/>
    <x v="0"/>
    <x v="1"/>
    <x v="0"/>
    <x v="1"/>
    <x v="1"/>
    <x v="12"/>
    <x v="0"/>
  </r>
  <r>
    <x v="2354"/>
    <x v="9"/>
    <x v="8"/>
    <n v="60.4"/>
    <x v="1741"/>
    <x v="86"/>
    <d v="2025-03-30T00:00:00"/>
    <x v="2"/>
    <x v="3"/>
    <x v="2"/>
    <x v="0"/>
    <x v="2"/>
    <x v="1"/>
    <x v="12"/>
    <x v="2"/>
  </r>
  <r>
    <x v="2355"/>
    <x v="6"/>
    <x v="12"/>
    <n v="86"/>
    <x v="1213"/>
    <x v="86"/>
    <d v="2025-03-31T00:00:00"/>
    <x v="2"/>
    <x v="2"/>
    <x v="2"/>
    <x v="0"/>
    <x v="22"/>
    <x v="2"/>
    <x v="12"/>
    <x v="2"/>
  </r>
  <r>
    <x v="2356"/>
    <x v="12"/>
    <x v="1"/>
    <n v="42.1"/>
    <x v="903"/>
    <x v="86"/>
    <d v="2025-03-29T00:00:00"/>
    <x v="2"/>
    <x v="4"/>
    <x v="1"/>
    <x v="0"/>
    <x v="34"/>
    <x v="3"/>
    <x v="12"/>
    <x v="2"/>
  </r>
  <r>
    <x v="2357"/>
    <x v="16"/>
    <x v="11"/>
    <n v="51.1"/>
    <x v="1742"/>
    <x v="86"/>
    <d v="2025-03-29T00:00:00"/>
    <x v="1"/>
    <x v="2"/>
    <x v="1"/>
    <x v="0"/>
    <x v="3"/>
    <x v="3"/>
    <x v="12"/>
    <x v="1"/>
  </r>
  <r>
    <x v="2358"/>
    <x v="9"/>
    <x v="12"/>
    <n v="73.8"/>
    <x v="1743"/>
    <x v="86"/>
    <d v="2025-03-29T00:00:00"/>
    <x v="1"/>
    <x v="4"/>
    <x v="0"/>
    <x v="0"/>
    <x v="3"/>
    <x v="3"/>
    <x v="12"/>
    <x v="1"/>
  </r>
  <r>
    <x v="2359"/>
    <x v="8"/>
    <x v="9"/>
    <n v="27"/>
    <x v="340"/>
    <x v="86"/>
    <d v="2025-03-31T00:00:00"/>
    <x v="2"/>
    <x v="2"/>
    <x v="2"/>
    <x v="0"/>
    <x v="3"/>
    <x v="2"/>
    <x v="12"/>
    <x v="2"/>
  </r>
  <r>
    <x v="2360"/>
    <x v="8"/>
    <x v="13"/>
    <n v="60.1"/>
    <x v="116"/>
    <x v="86"/>
    <d v="2025-03-29T00:00:00"/>
    <x v="1"/>
    <x v="3"/>
    <x v="0"/>
    <x v="0"/>
    <x v="3"/>
    <x v="3"/>
    <x v="12"/>
    <x v="1"/>
  </r>
  <r>
    <x v="2361"/>
    <x v="2"/>
    <x v="3"/>
    <n v="94.1"/>
    <x v="1744"/>
    <x v="86"/>
    <d v="2025-03-30T00:00:00"/>
    <x v="2"/>
    <x v="4"/>
    <x v="1"/>
    <x v="0"/>
    <x v="3"/>
    <x v="1"/>
    <x v="12"/>
    <x v="2"/>
  </r>
  <r>
    <x v="2362"/>
    <x v="2"/>
    <x v="1"/>
    <n v="124.1"/>
    <x v="1235"/>
    <x v="86"/>
    <d v="2025-03-28T00:00:00"/>
    <x v="2"/>
    <x v="2"/>
    <x v="3"/>
    <x v="0"/>
    <x v="43"/>
    <x v="7"/>
    <x v="12"/>
    <x v="2"/>
  </r>
  <r>
    <x v="2363"/>
    <x v="8"/>
    <x v="12"/>
    <n v="16.899999999999999"/>
    <x v="821"/>
    <x v="86"/>
    <d v="2025-03-31T00:00:00"/>
    <x v="1"/>
    <x v="3"/>
    <x v="0"/>
    <x v="0"/>
    <x v="6"/>
    <x v="2"/>
    <x v="12"/>
    <x v="1"/>
  </r>
  <r>
    <x v="2364"/>
    <x v="1"/>
    <x v="0"/>
    <n v="36.9"/>
    <x v="1745"/>
    <x v="86"/>
    <d v="2025-03-29T00:00:00"/>
    <x v="1"/>
    <x v="0"/>
    <x v="0"/>
    <x v="0"/>
    <x v="6"/>
    <x v="3"/>
    <x v="12"/>
    <x v="1"/>
  </r>
  <r>
    <x v="2365"/>
    <x v="9"/>
    <x v="1"/>
    <n v="22.6"/>
    <x v="705"/>
    <x v="86"/>
    <d v="2025-04-10T00:00:00"/>
    <x v="2"/>
    <x v="2"/>
    <x v="1"/>
    <x v="0"/>
    <x v="8"/>
    <x v="10"/>
    <x v="12"/>
    <x v="2"/>
  </r>
  <r>
    <x v="2366"/>
    <x v="7"/>
    <x v="12"/>
    <n v="35"/>
    <x v="1683"/>
    <x v="86"/>
    <d v="2025-04-02T00:00:00"/>
    <x v="1"/>
    <x v="3"/>
    <x v="1"/>
    <x v="0"/>
    <x v="8"/>
    <x v="0"/>
    <x v="12"/>
    <x v="1"/>
  </r>
  <r>
    <x v="2367"/>
    <x v="9"/>
    <x v="13"/>
    <n v="63.6"/>
    <x v="1746"/>
    <x v="86"/>
    <d v="2025-04-04T00:00:00"/>
    <x v="0"/>
    <x v="1"/>
    <x v="2"/>
    <x v="0"/>
    <x v="8"/>
    <x v="6"/>
    <x v="12"/>
    <x v="0"/>
  </r>
  <r>
    <x v="2368"/>
    <x v="15"/>
    <x v="12"/>
    <n v="78.599999999999994"/>
    <x v="1747"/>
    <x v="86"/>
    <d v="2025-03-29T00:00:00"/>
    <x v="1"/>
    <x v="4"/>
    <x v="1"/>
    <x v="0"/>
    <x v="8"/>
    <x v="3"/>
    <x v="12"/>
    <x v="1"/>
  </r>
  <r>
    <x v="2369"/>
    <x v="3"/>
    <x v="1"/>
    <n v="38.5"/>
    <x v="445"/>
    <x v="86"/>
    <d v="2025-03-29T00:00:00"/>
    <x v="1"/>
    <x v="0"/>
    <x v="2"/>
    <x v="0"/>
    <x v="8"/>
    <x v="3"/>
    <x v="12"/>
    <x v="1"/>
  </r>
  <r>
    <x v="2370"/>
    <x v="8"/>
    <x v="5"/>
    <n v="71.5"/>
    <x v="1748"/>
    <x v="86"/>
    <d v="2025-03-29T00:00:00"/>
    <x v="2"/>
    <x v="1"/>
    <x v="4"/>
    <x v="0"/>
    <x v="8"/>
    <x v="3"/>
    <x v="12"/>
    <x v="2"/>
  </r>
  <r>
    <x v="2371"/>
    <x v="6"/>
    <x v="12"/>
    <n v="121.4"/>
    <x v="1749"/>
    <x v="86"/>
    <d v="2025-04-01T00:00:00"/>
    <x v="1"/>
    <x v="1"/>
    <x v="2"/>
    <x v="0"/>
    <x v="17"/>
    <x v="5"/>
    <x v="12"/>
    <x v="1"/>
  </r>
  <r>
    <x v="2372"/>
    <x v="11"/>
    <x v="0"/>
    <n v="40.200000000000003"/>
    <x v="282"/>
    <x v="86"/>
    <d v="2025-03-31T00:00:00"/>
    <x v="2"/>
    <x v="0"/>
    <x v="2"/>
    <x v="0"/>
    <x v="11"/>
    <x v="2"/>
    <x v="12"/>
    <x v="2"/>
  </r>
  <r>
    <x v="2373"/>
    <x v="5"/>
    <x v="9"/>
    <n v="31.9"/>
    <x v="1750"/>
    <x v="86"/>
    <d v="2025-03-30T00:00:00"/>
    <x v="2"/>
    <x v="2"/>
    <x v="2"/>
    <x v="0"/>
    <x v="28"/>
    <x v="1"/>
    <x v="12"/>
    <x v="2"/>
  </r>
  <r>
    <x v="2374"/>
    <x v="14"/>
    <x v="9"/>
    <n v="15.8"/>
    <x v="1751"/>
    <x v="87"/>
    <d v="2025-03-30T00:00:00"/>
    <x v="1"/>
    <x v="3"/>
    <x v="2"/>
    <x v="0"/>
    <x v="21"/>
    <x v="3"/>
    <x v="12"/>
    <x v="1"/>
  </r>
  <r>
    <x v="2375"/>
    <x v="10"/>
    <x v="1"/>
    <n v="25.1"/>
    <x v="486"/>
    <x v="87"/>
    <d v="2025-03-31T00:00:00"/>
    <x v="0"/>
    <x v="1"/>
    <x v="0"/>
    <x v="0"/>
    <x v="21"/>
    <x v="1"/>
    <x v="12"/>
    <x v="0"/>
  </r>
  <r>
    <x v="2376"/>
    <x v="1"/>
    <x v="44"/>
    <n v="38.1"/>
    <x v="1752"/>
    <x v="87"/>
    <d v="2025-03-30T00:00:00"/>
    <x v="2"/>
    <x v="4"/>
    <x v="0"/>
    <x v="0"/>
    <x v="1"/>
    <x v="3"/>
    <x v="12"/>
    <x v="2"/>
  </r>
  <r>
    <x v="2377"/>
    <x v="3"/>
    <x v="1"/>
    <n v="42.2"/>
    <x v="533"/>
    <x v="87"/>
    <d v="2025-03-31T00:00:00"/>
    <x v="2"/>
    <x v="0"/>
    <x v="2"/>
    <x v="0"/>
    <x v="1"/>
    <x v="1"/>
    <x v="12"/>
    <x v="2"/>
  </r>
  <r>
    <x v="2378"/>
    <x v="0"/>
    <x v="7"/>
    <n v="12.3"/>
    <x v="1287"/>
    <x v="87"/>
    <d v="2025-03-30T00:00:00"/>
    <x v="2"/>
    <x v="4"/>
    <x v="0"/>
    <x v="0"/>
    <x v="2"/>
    <x v="3"/>
    <x v="12"/>
    <x v="2"/>
  </r>
  <r>
    <x v="2379"/>
    <x v="7"/>
    <x v="0"/>
    <n v="30.2"/>
    <x v="242"/>
    <x v="87"/>
    <d v="2025-03-31T00:00:00"/>
    <x v="2"/>
    <x v="1"/>
    <x v="2"/>
    <x v="0"/>
    <x v="34"/>
    <x v="1"/>
    <x v="12"/>
    <x v="2"/>
  </r>
  <r>
    <x v="2380"/>
    <x v="5"/>
    <x v="2"/>
    <n v="25.3"/>
    <x v="1554"/>
    <x v="87"/>
    <d v="2025-04-01T00:00:00"/>
    <x v="2"/>
    <x v="2"/>
    <x v="0"/>
    <x v="0"/>
    <x v="3"/>
    <x v="2"/>
    <x v="12"/>
    <x v="2"/>
  </r>
  <r>
    <x v="2381"/>
    <x v="8"/>
    <x v="9"/>
    <n v="29.7"/>
    <x v="1753"/>
    <x v="87"/>
    <d v="2025-03-31T00:00:00"/>
    <x v="1"/>
    <x v="3"/>
    <x v="0"/>
    <x v="0"/>
    <x v="3"/>
    <x v="1"/>
    <x v="12"/>
    <x v="1"/>
  </r>
  <r>
    <x v="2382"/>
    <x v="9"/>
    <x v="8"/>
    <n v="32.9"/>
    <x v="1754"/>
    <x v="87"/>
    <d v="2025-03-30T00:00:00"/>
    <x v="0"/>
    <x v="3"/>
    <x v="2"/>
    <x v="0"/>
    <x v="3"/>
    <x v="3"/>
    <x v="12"/>
    <x v="0"/>
  </r>
  <r>
    <x v="2383"/>
    <x v="10"/>
    <x v="1"/>
    <n v="43.6"/>
    <x v="640"/>
    <x v="87"/>
    <d v="2025-03-30T00:00:00"/>
    <x v="1"/>
    <x v="1"/>
    <x v="2"/>
    <x v="0"/>
    <x v="3"/>
    <x v="3"/>
    <x v="12"/>
    <x v="1"/>
  </r>
  <r>
    <x v="2384"/>
    <x v="15"/>
    <x v="12"/>
    <n v="78.400000000000006"/>
    <x v="1755"/>
    <x v="87"/>
    <d v="2025-03-30T00:00:00"/>
    <x v="1"/>
    <x v="2"/>
    <x v="0"/>
    <x v="0"/>
    <x v="3"/>
    <x v="3"/>
    <x v="12"/>
    <x v="1"/>
  </r>
  <r>
    <x v="2385"/>
    <x v="6"/>
    <x v="1"/>
    <n v="56.5"/>
    <x v="548"/>
    <x v="87"/>
    <d v="2025-04-02T00:00:00"/>
    <x v="1"/>
    <x v="1"/>
    <x v="1"/>
    <x v="0"/>
    <x v="3"/>
    <x v="5"/>
    <x v="12"/>
    <x v="1"/>
  </r>
  <r>
    <x v="2386"/>
    <x v="16"/>
    <x v="0"/>
    <n v="36.700000000000003"/>
    <x v="329"/>
    <x v="87"/>
    <d v="2025-03-30T00:00:00"/>
    <x v="2"/>
    <x v="0"/>
    <x v="2"/>
    <x v="0"/>
    <x v="3"/>
    <x v="3"/>
    <x v="12"/>
    <x v="2"/>
  </r>
  <r>
    <x v="2387"/>
    <x v="2"/>
    <x v="12"/>
    <n v="103.6"/>
    <x v="1756"/>
    <x v="87"/>
    <d v="2025-04-09T00:00:00"/>
    <x v="1"/>
    <x v="4"/>
    <x v="2"/>
    <x v="0"/>
    <x v="3"/>
    <x v="11"/>
    <x v="12"/>
    <x v="1"/>
  </r>
  <r>
    <x v="2388"/>
    <x v="8"/>
    <x v="13"/>
    <n v="16.2"/>
    <x v="1757"/>
    <x v="87"/>
    <d v="2025-04-02T00:00:00"/>
    <x v="1"/>
    <x v="1"/>
    <x v="2"/>
    <x v="0"/>
    <x v="6"/>
    <x v="5"/>
    <x v="12"/>
    <x v="1"/>
  </r>
  <r>
    <x v="2389"/>
    <x v="8"/>
    <x v="1"/>
    <n v="20.2"/>
    <x v="1400"/>
    <x v="87"/>
    <d v="2025-03-30T00:00:00"/>
    <x v="2"/>
    <x v="0"/>
    <x v="0"/>
    <x v="0"/>
    <x v="6"/>
    <x v="3"/>
    <x v="12"/>
    <x v="2"/>
  </r>
  <r>
    <x v="2390"/>
    <x v="11"/>
    <x v="1"/>
    <n v="26.9"/>
    <x v="1758"/>
    <x v="87"/>
    <d v="2025-03-31T00:00:00"/>
    <x v="2"/>
    <x v="2"/>
    <x v="0"/>
    <x v="0"/>
    <x v="6"/>
    <x v="1"/>
    <x v="12"/>
    <x v="2"/>
  </r>
  <r>
    <x v="2391"/>
    <x v="1"/>
    <x v="1"/>
    <n v="82.4"/>
    <x v="1759"/>
    <x v="87"/>
    <d v="2025-04-01T00:00:00"/>
    <x v="0"/>
    <x v="0"/>
    <x v="0"/>
    <x v="0"/>
    <x v="7"/>
    <x v="2"/>
    <x v="12"/>
    <x v="0"/>
  </r>
  <r>
    <x v="2392"/>
    <x v="2"/>
    <x v="1"/>
    <n v="117.8"/>
    <x v="1760"/>
    <x v="87"/>
    <d v="2025-03-31T00:00:00"/>
    <x v="1"/>
    <x v="1"/>
    <x v="2"/>
    <x v="0"/>
    <x v="8"/>
    <x v="1"/>
    <x v="12"/>
    <x v="1"/>
  </r>
  <r>
    <x v="2393"/>
    <x v="11"/>
    <x v="12"/>
    <n v="36.700000000000003"/>
    <x v="1761"/>
    <x v="87"/>
    <d v="2025-03-30T00:00:00"/>
    <x v="1"/>
    <x v="1"/>
    <x v="0"/>
    <x v="0"/>
    <x v="8"/>
    <x v="3"/>
    <x v="12"/>
    <x v="1"/>
  </r>
  <r>
    <x v="2394"/>
    <x v="17"/>
    <x v="2"/>
    <n v="46.8"/>
    <x v="1762"/>
    <x v="87"/>
    <d v="2025-03-30T00:00:00"/>
    <x v="1"/>
    <x v="4"/>
    <x v="2"/>
    <x v="0"/>
    <x v="10"/>
    <x v="3"/>
    <x v="12"/>
    <x v="1"/>
  </r>
  <r>
    <x v="2395"/>
    <x v="3"/>
    <x v="0"/>
    <n v="61.4"/>
    <x v="886"/>
    <x v="87"/>
    <d v="2025-03-30T00:00:00"/>
    <x v="1"/>
    <x v="1"/>
    <x v="0"/>
    <x v="0"/>
    <x v="10"/>
    <x v="3"/>
    <x v="12"/>
    <x v="1"/>
  </r>
  <r>
    <x v="2396"/>
    <x v="15"/>
    <x v="1"/>
    <n v="22.9"/>
    <x v="494"/>
    <x v="87"/>
    <d v="2025-03-30T00:00:00"/>
    <x v="1"/>
    <x v="0"/>
    <x v="0"/>
    <x v="0"/>
    <x v="11"/>
    <x v="3"/>
    <x v="12"/>
    <x v="1"/>
  </r>
  <r>
    <x v="2397"/>
    <x v="10"/>
    <x v="1"/>
    <n v="22.1"/>
    <x v="573"/>
    <x v="87"/>
    <d v="2025-03-30T00:00:00"/>
    <x v="2"/>
    <x v="4"/>
    <x v="0"/>
    <x v="0"/>
    <x v="11"/>
    <x v="3"/>
    <x v="12"/>
    <x v="2"/>
  </r>
  <r>
    <x v="2398"/>
    <x v="12"/>
    <x v="1"/>
    <n v="31"/>
    <x v="85"/>
    <x v="87"/>
    <d v="2025-03-31T00:00:00"/>
    <x v="2"/>
    <x v="2"/>
    <x v="0"/>
    <x v="0"/>
    <x v="18"/>
    <x v="1"/>
    <x v="12"/>
    <x v="2"/>
  </r>
  <r>
    <x v="2399"/>
    <x v="18"/>
    <x v="1"/>
    <n v="84.2"/>
    <x v="1763"/>
    <x v="87"/>
    <d v="2025-03-31T00:00:00"/>
    <x v="1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4CBA8-A1E9-411E-B1C5-4DA1BD057D53}" name="pvtDeliverDays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>
  <location ref="A51:B67" firstHeaderRow="1" firstDataRow="1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n="6 to 15" sd="0" x="5"/>
        <item n="Over 15" sd="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Nombre de TX ID" fld="0" subtotal="count" baseField="0" baseItem="0"/>
  </dataField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5C61B-F58C-4B58-8661-4406377E756B}" name="pvtPopular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28:B36" firstHeaderRow="1" firstDataRow="1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8">
        <item x="0"/>
        <item x="1"/>
        <item x="2"/>
        <item x="4"/>
        <item x="3"/>
        <item n="6 to 15" sd="0" x="5"/>
        <item n="Over 15" sd="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TX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9F29B-E3AA-4599-A5B4-8104A87B251B}" name="pvtSummary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E3" firstHeaderRow="0" firstDataRow="1" firstDataCol="0"/>
  <pivotFields count="18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dataField="1" showAll="0"/>
    <pivotField showAll="0"/>
    <pivotField showAll="0"/>
    <pivotField dataField="1"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ombre de TX ID" fld="0" subtotal="count" baseField="0" baseItem="0"/>
    <dataField name="Somme de Quantity" fld="2" baseField="0" baseItem="0"/>
    <dataField name="Somme de Amount" fld="4" baseField="0" baseItem="0"/>
    <dataField name="Moyenne de Rating C" fld="9" subtotal="average" baseField="0" baseItem="3"/>
    <dataField name="Moyenne de Days to Deliver" fld="12" subtotal="averag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794A3-8022-49BF-BF5B-3F513FE71128}" name="pvtRatings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2">
  <location ref="E54:K59" firstHeaderRow="1" firstDataRow="2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axis="axisCol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n="6 to 15" sd="0" x="5"/>
        <item n="Over 15" sd="0"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TX ID" fld="0" subtotal="count" baseField="0" baseItem="0"/>
  </dataFields>
  <chartFormats count="5"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DF04F-9CF9-4108-B325-5E4BB219EE97}" name="pvtTrend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1">
  <location ref="A8:C22" firstHeaderRow="0" firstDataRow="1" firstDataCol="1"/>
  <pivotFields count="18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uantity" fld="2" baseField="0" baseItem="0"/>
    <dataField name="Somme de Amount" fld="4" baseField="0" baseItem="0" numFmtId="164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13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D1631-379B-47D4-93CE-BB57C6BF421D}" name="pvtMap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M3:P61" firstHeaderRow="0" firstDataRow="1" firstDataCol="2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8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764">
        <item x="0"/>
        <item x="432"/>
        <item x="1482"/>
        <item x="178"/>
        <item x="1436"/>
        <item x="239"/>
        <item x="591"/>
        <item x="1426"/>
        <item x="1021"/>
        <item x="283"/>
        <item x="1494"/>
        <item x="749"/>
        <item x="1609"/>
        <item x="248"/>
        <item x="135"/>
        <item x="836"/>
        <item x="832"/>
        <item x="1200"/>
        <item x="1600"/>
        <item x="1709"/>
        <item x="670"/>
        <item x="1492"/>
        <item x="134"/>
        <item x="447"/>
        <item x="688"/>
        <item x="1219"/>
        <item x="614"/>
        <item x="1137"/>
        <item x="132"/>
        <item x="190"/>
        <item x="1500"/>
        <item x="323"/>
        <item x="798"/>
        <item x="333"/>
        <item x="1429"/>
        <item x="1349"/>
        <item x="483"/>
        <item x="731"/>
        <item x="1084"/>
        <item x="258"/>
        <item x="968"/>
        <item x="525"/>
        <item x="249"/>
        <item x="1246"/>
        <item x="61"/>
        <item x="1695"/>
        <item x="772"/>
        <item x="126"/>
        <item x="1561"/>
        <item x="779"/>
        <item x="301"/>
        <item x="835"/>
        <item x="1057"/>
        <item x="1616"/>
        <item x="830"/>
        <item x="1644"/>
        <item x="202"/>
        <item x="1672"/>
        <item x="19"/>
        <item x="382"/>
        <item x="1441"/>
        <item x="1703"/>
        <item x="1191"/>
        <item x="601"/>
        <item x="1102"/>
        <item x="38"/>
        <item x="534"/>
        <item x="63"/>
        <item x="49"/>
        <item x="1116"/>
        <item x="1639"/>
        <item x="1637"/>
        <item x="879"/>
        <item x="293"/>
        <item x="425"/>
        <item x="1034"/>
        <item x="1076"/>
        <item x="1678"/>
        <item x="47"/>
        <item x="1493"/>
        <item x="242"/>
        <item x="928"/>
        <item x="1538"/>
        <item x="1642"/>
        <item x="558"/>
        <item x="1705"/>
        <item x="406"/>
        <item x="1323"/>
        <item x="1455"/>
        <item x="35"/>
        <item x="137"/>
        <item x="627"/>
        <item x="109"/>
        <item x="1158"/>
        <item x="390"/>
        <item x="1684"/>
        <item x="1229"/>
        <item x="944"/>
        <item x="860"/>
        <item x="940"/>
        <item x="698"/>
        <item x="1417"/>
        <item x="253"/>
        <item x="1680"/>
        <item x="1564"/>
        <item x="1222"/>
        <item x="607"/>
        <item x="1656"/>
        <item x="1580"/>
        <item x="1114"/>
        <item x="169"/>
        <item x="1553"/>
        <item x="1668"/>
        <item x="1657"/>
        <item x="519"/>
        <item x="72"/>
        <item x="1520"/>
        <item x="53"/>
        <item x="168"/>
        <item x="1277"/>
        <item x="547"/>
        <item x="329"/>
        <item x="791"/>
        <item x="1745"/>
        <item x="804"/>
        <item x="463"/>
        <item x="853"/>
        <item x="753"/>
        <item x="220"/>
        <item x="1139"/>
        <item x="1320"/>
        <item x="1732"/>
        <item x="923"/>
        <item x="496"/>
        <item x="864"/>
        <item x="736"/>
        <item x="341"/>
        <item x="144"/>
        <item x="165"/>
        <item x="282"/>
        <item x="518"/>
        <item x="1400"/>
        <item x="1117"/>
        <item x="1352"/>
        <item x="274"/>
        <item x="803"/>
        <item x="783"/>
        <item x="1184"/>
        <item x="504"/>
        <item x="1667"/>
        <item x="50"/>
        <item x="1712"/>
        <item x="480"/>
        <item x="1465"/>
        <item x="1151"/>
        <item x="337"/>
        <item x="1283"/>
        <item x="469"/>
        <item x="440"/>
        <item x="39"/>
        <item x="1286"/>
        <item x="181"/>
        <item x="1422"/>
        <item x="1195"/>
        <item x="328"/>
        <item x="1661"/>
        <item x="945"/>
        <item x="573"/>
        <item x="225"/>
        <item x="1456"/>
        <item x="438"/>
        <item x="938"/>
        <item x="583"/>
        <item x="1212"/>
        <item x="705"/>
        <item x="204"/>
        <item x="962"/>
        <item x="494"/>
        <item x="716"/>
        <item x="722"/>
        <item x="1063"/>
        <item x="516"/>
        <item x="434"/>
        <item x="1447"/>
        <item x="594"/>
        <item x="86"/>
        <item x="179"/>
        <item x="392"/>
        <item x="828"/>
        <item x="1601"/>
        <item x="538"/>
        <item x="510"/>
        <item x="959"/>
        <item x="1293"/>
        <item x="655"/>
        <item x="319"/>
        <item x="1247"/>
        <item x="51"/>
        <item x="268"/>
        <item x="528"/>
        <item x="1111"/>
        <item x="256"/>
        <item x="1474"/>
        <item x="500"/>
        <item x="1039"/>
        <item x="486"/>
        <item x="813"/>
        <item x="458"/>
        <item x="578"/>
        <item x="163"/>
        <item x="180"/>
        <item x="1045"/>
        <item x="937"/>
        <item x="733"/>
        <item x="964"/>
        <item x="954"/>
        <item x="1074"/>
        <item x="1692"/>
        <item x="475"/>
        <item x="1342"/>
        <item x="773"/>
        <item x="1559"/>
        <item x="413"/>
        <item x="1228"/>
        <item x="112"/>
        <item x="513"/>
        <item x="535"/>
        <item x="1557"/>
        <item x="287"/>
        <item x="1563"/>
        <item x="789"/>
        <item x="1309"/>
        <item x="1758"/>
        <item x="1260"/>
        <item x="1089"/>
        <item x="521"/>
        <item x="1364"/>
        <item x="630"/>
        <item x="1107"/>
        <item x="1539"/>
        <item x="1407"/>
        <item x="1090"/>
        <item x="252"/>
        <item x="898"/>
        <item x="291"/>
        <item x="6"/>
        <item x="466"/>
        <item x="102"/>
        <item x="1581"/>
        <item x="391"/>
        <item x="571"/>
        <item x="1007"/>
        <item x="1498"/>
        <item x="1640"/>
        <item x="933"/>
        <item x="472"/>
        <item x="473"/>
        <item x="1177"/>
        <item x="1281"/>
        <item x="1253"/>
        <item x="636"/>
        <item x="569"/>
        <item x="687"/>
        <item x="1356"/>
        <item x="1635"/>
        <item x="331"/>
        <item x="305"/>
        <item x="902"/>
        <item x="150"/>
        <item x="572"/>
        <item x="1242"/>
        <item x="1478"/>
        <item x="676"/>
        <item x="1100"/>
        <item x="254"/>
        <item x="1176"/>
        <item x="1201"/>
        <item x="1738"/>
        <item x="266"/>
        <item x="408"/>
        <item x="1035"/>
        <item x="1297"/>
        <item x="170"/>
        <item x="1"/>
        <item x="886"/>
        <item x="1085"/>
        <item x="834"/>
        <item x="546"/>
        <item x="957"/>
        <item x="85"/>
        <item x="1448"/>
        <item x="1197"/>
        <item x="1030"/>
        <item x="683"/>
        <item x="1016"/>
        <item x="143"/>
        <item x="1620"/>
        <item x="1220"/>
        <item x="1276"/>
        <item x="34"/>
        <item x="1005"/>
        <item x="1394"/>
        <item x="453"/>
        <item x="1099"/>
        <item x="1740"/>
        <item x="460"/>
        <item x="891"/>
        <item x="221"/>
        <item x="212"/>
        <item x="1481"/>
        <item x="499"/>
        <item x="511"/>
        <item x="812"/>
        <item x="387"/>
        <item x="1124"/>
        <item x="702"/>
        <item x="815"/>
        <item x="14"/>
        <item x="119"/>
        <item x="884"/>
        <item x="966"/>
        <item x="863"/>
        <item x="1476"/>
        <item x="693"/>
        <item x="509"/>
        <item x="821"/>
        <item x="418"/>
        <item x="745"/>
        <item x="1714"/>
        <item x="508"/>
        <item x="1043"/>
        <item x="564"/>
        <item x="59"/>
        <item x="299"/>
        <item x="1154"/>
        <item x="952"/>
        <item x="474"/>
        <item x="1549"/>
        <item x="1012"/>
        <item x="527"/>
        <item x="1664"/>
        <item x="184"/>
        <item x="1321"/>
        <item x="1013"/>
        <item x="660"/>
        <item x="1574"/>
        <item x="503"/>
        <item x="1289"/>
        <item x="623"/>
        <item x="1325"/>
        <item x="236"/>
        <item x="1285"/>
        <item x="936"/>
        <item x="1524"/>
        <item x="426"/>
        <item x="1517"/>
        <item x="800"/>
        <item x="372"/>
        <item x="1314"/>
        <item x="610"/>
        <item x="110"/>
        <item x="965"/>
        <item x="1734"/>
        <item x="611"/>
        <item x="495"/>
        <item x="108"/>
        <item x="1554"/>
        <item x="998"/>
        <item x="172"/>
        <item x="1488"/>
        <item x="1648"/>
        <item x="514"/>
        <item x="882"/>
        <item x="714"/>
        <item x="332"/>
        <item x="1721"/>
        <item x="445"/>
        <item x="1003"/>
        <item x="837"/>
        <item x="83"/>
        <item x="771"/>
        <item x="1598"/>
        <item x="1233"/>
        <item x="482"/>
        <item x="292"/>
        <item x="648"/>
        <item x="1148"/>
        <item x="166"/>
        <item x="1670"/>
        <item x="1645"/>
        <item x="491"/>
        <item x="1623"/>
        <item x="1608"/>
        <item x="1751"/>
        <item x="1113"/>
        <item x="84"/>
        <item x="1187"/>
        <item x="1589"/>
        <item x="479"/>
        <item x="1133"/>
        <item x="556"/>
        <item x="48"/>
        <item x="7"/>
        <item x="1687"/>
        <item x="41"/>
        <item x="1443"/>
        <item x="969"/>
        <item x="1101"/>
        <item x="1523"/>
        <item x="330"/>
        <item x="1135"/>
        <item x="673"/>
        <item x="1518"/>
        <item x="462"/>
        <item x="1182"/>
        <item x="470"/>
        <item x="707"/>
        <item x="925"/>
        <item x="681"/>
        <item x="433"/>
        <item x="1405"/>
        <item x="903"/>
        <item x="278"/>
        <item x="533"/>
        <item x="1274"/>
        <item x="1647"/>
        <item x="1331"/>
        <item x="464"/>
        <item x="825"/>
        <item x="1216"/>
        <item x="1172"/>
        <item x="550"/>
        <item x="1324"/>
        <item x="1024"/>
        <item x="1360"/>
        <item x="616"/>
        <item x="781"/>
        <item x="700"/>
        <item x="626"/>
        <item x="1053"/>
        <item x="640"/>
        <item x="631"/>
        <item x="697"/>
        <item x="485"/>
        <item x="1205"/>
        <item x="1155"/>
        <item x="1047"/>
        <item x="787"/>
        <item x="1605"/>
        <item x="1702"/>
        <item x="542"/>
        <item x="70"/>
        <item x="32"/>
        <item x="817"/>
        <item x="645"/>
        <item x="244"/>
        <item x="786"/>
        <item x="497"/>
        <item x="742"/>
        <item x="407"/>
        <item x="1270"/>
        <item x="411"/>
        <item x="1058"/>
        <item x="758"/>
        <item x="988"/>
        <item x="1152"/>
        <item x="974"/>
        <item x="1196"/>
        <item x="737"/>
        <item x="1487"/>
        <item x="1707"/>
        <item x="16"/>
        <item x="1261"/>
        <item x="64"/>
        <item x="1650"/>
        <item x="442"/>
        <item x="255"/>
        <item x="1467"/>
        <item x="725"/>
        <item x="234"/>
        <item x="422"/>
        <item x="415"/>
        <item x="296"/>
        <item x="233"/>
        <item x="139"/>
        <item x="802"/>
        <item x="586"/>
        <item x="854"/>
        <item x="219"/>
        <item x="334"/>
        <item x="1629"/>
        <item x="73"/>
        <item x="980"/>
        <item x="1757"/>
        <item x="451"/>
        <item x="647"/>
        <item x="131"/>
        <item x="68"/>
        <item x="11"/>
        <item x="196"/>
        <item x="1543"/>
        <item x="197"/>
        <item x="643"/>
        <item x="1033"/>
        <item x="1300"/>
        <item x="1569"/>
        <item x="1459"/>
        <item x="350"/>
        <item x="1638"/>
        <item x="1217"/>
        <item x="1326"/>
        <item x="862"/>
        <item x="427"/>
        <item x="90"/>
        <item x="95"/>
        <item x="855"/>
        <item x="1171"/>
        <item x="857"/>
        <item x="1681"/>
        <item x="530"/>
        <item x="1062"/>
        <item x="646"/>
        <item x="298"/>
        <item x="125"/>
        <item x="576"/>
        <item x="1223"/>
        <item x="186"/>
        <item x="1454"/>
        <item x="1389"/>
        <item x="748"/>
        <item x="199"/>
        <item x="1652"/>
        <item x="661"/>
        <item x="211"/>
        <item x="1049"/>
        <item x="852"/>
        <item x="568"/>
        <item x="142"/>
        <item x="101"/>
        <item x="872"/>
        <item x="793"/>
        <item x="619"/>
        <item x="694"/>
        <item x="1002"/>
        <item x="1511"/>
        <item x="799"/>
        <item x="1311"/>
        <item x="215"/>
        <item x="807"/>
        <item x="1061"/>
        <item x="939"/>
        <item x="10"/>
        <item x="1178"/>
        <item x="42"/>
        <item x="659"/>
        <item x="414"/>
        <item x="1239"/>
        <item x="17"/>
        <item x="81"/>
        <item x="918"/>
        <item x="579"/>
        <item x="806"/>
        <item x="622"/>
        <item x="1097"/>
        <item x="1483"/>
        <item x="883"/>
        <item x="1006"/>
        <item x="1534"/>
        <item x="881"/>
        <item x="794"/>
        <item x="158"/>
        <item x="380"/>
        <item x="548"/>
        <item x="1413"/>
        <item x="1129"/>
        <item x="247"/>
        <item x="1127"/>
        <item x="1575"/>
        <item x="717"/>
        <item x="1466"/>
        <item x="488"/>
        <item x="1449"/>
        <item x="311"/>
        <item x="574"/>
        <item x="1579"/>
        <item x="151"/>
        <item x="1484"/>
        <item x="100"/>
        <item x="446"/>
        <item x="1699"/>
        <item x="565"/>
        <item x="1622"/>
        <item x="726"/>
        <item x="1527"/>
        <item x="1737"/>
        <item x="833"/>
        <item x="557"/>
        <item x="841"/>
        <item x="1098"/>
        <item x="593"/>
        <item x="1250"/>
        <item x="193"/>
        <item x="1402"/>
        <item x="120"/>
        <item x="111"/>
        <item x="160"/>
        <item x="493"/>
        <item x="92"/>
        <item x="1710"/>
        <item x="297"/>
        <item x="1087"/>
        <item x="164"/>
        <item x="641"/>
        <item x="1296"/>
        <item x="384"/>
        <item x="544"/>
        <item x="949"/>
        <item x="1287"/>
        <item x="1432"/>
        <item x="1268"/>
        <item x="553"/>
        <item x="302"/>
        <item x="145"/>
        <item x="376"/>
        <item x="1109"/>
        <item x="570"/>
        <item x="52"/>
        <item x="1415"/>
        <item x="352"/>
        <item x="967"/>
        <item x="624"/>
        <item x="1555"/>
        <item x="628"/>
        <item x="888"/>
        <item x="1077"/>
        <item x="1208"/>
        <item x="1332"/>
        <item x="520"/>
        <item x="1071"/>
        <item x="823"/>
        <item x="1193"/>
        <item x="618"/>
        <item x="539"/>
        <item x="58"/>
        <item x="580"/>
        <item x="1403"/>
        <item x="309"/>
        <item x="769"/>
        <item x="385"/>
        <item x="632"/>
        <item x="1060"/>
        <item x="33"/>
        <item x="1583"/>
        <item x="848"/>
        <item x="1272"/>
        <item x="1249"/>
        <item x="1209"/>
        <item x="1423"/>
        <item x="955"/>
        <item x="431"/>
        <item x="979"/>
        <item x="927"/>
        <item x="1265"/>
        <item x="117"/>
        <item x="986"/>
        <item x="1567"/>
        <item x="260"/>
        <item x="30"/>
        <item x="981"/>
        <item x="1545"/>
        <item x="1597"/>
        <item x="1048"/>
        <item x="531"/>
        <item x="1093"/>
        <item x="340"/>
        <item x="246"/>
        <item x="685"/>
        <item x="1693"/>
        <item x="1411"/>
        <item x="336"/>
        <item x="1641"/>
        <item x="1134"/>
        <item x="517"/>
        <item x="1294"/>
        <item x="996"/>
        <item x="383"/>
        <item x="1068"/>
        <item x="1387"/>
        <item x="1730"/>
        <item x="1367"/>
        <item x="223"/>
        <item x="304"/>
        <item x="639"/>
        <item x="374"/>
        <item x="209"/>
        <item x="194"/>
        <item x="388"/>
        <item x="377"/>
        <item x="1457"/>
        <item x="1683"/>
        <item x="634"/>
        <item x="1762"/>
        <item x="381"/>
        <item x="684"/>
        <item x="1427"/>
        <item x="1038"/>
        <item x="780"/>
        <item x="932"/>
        <item x="1708"/>
        <item x="1175"/>
        <item x="60"/>
        <item x="1419"/>
        <item x="275"/>
        <item x="1298"/>
        <item x="1391"/>
        <item x="1489"/>
        <item x="897"/>
        <item x="1410"/>
        <item x="1096"/>
        <item x="625"/>
        <item x="613"/>
        <item x="1435"/>
        <item x="1262"/>
        <item x="353"/>
        <item x="1401"/>
        <item x="468"/>
        <item x="973"/>
        <item x="675"/>
        <item x="1626"/>
        <item x="1570"/>
        <item x="599"/>
        <item x="1718"/>
        <item x="1207"/>
        <item x="1363"/>
        <item x="1761"/>
        <item x="926"/>
        <item x="824"/>
        <item x="1224"/>
        <item x="203"/>
        <item x="1119"/>
        <item x="1753"/>
        <item x="956"/>
        <item x="1501"/>
        <item x="689"/>
        <item x="315"/>
        <item x="638"/>
        <item x="379"/>
        <item x="562"/>
        <item x="842"/>
        <item x="354"/>
        <item x="277"/>
        <item x="174"/>
        <item x="318"/>
        <item x="465"/>
        <item x="1621"/>
        <item x="1388"/>
        <item x="1634"/>
        <item x="1065"/>
        <item x="1618"/>
        <item x="1145"/>
        <item x="1330"/>
        <item x="1506"/>
        <item x="608"/>
        <item x="1399"/>
        <item x="55"/>
        <item x="1384"/>
        <item x="831"/>
        <item x="1120"/>
        <item x="1040"/>
        <item x="351"/>
        <item x="1230"/>
        <item x="515"/>
        <item x="1126"/>
        <item x="1733"/>
        <item x="1660"/>
        <item x="9"/>
        <item x="963"/>
        <item x="1588"/>
        <item x="1655"/>
        <item x="507"/>
        <item x="1022"/>
        <item x="905"/>
        <item x="739"/>
        <item x="1355"/>
        <item x="402"/>
        <item x="1329"/>
        <item x="409"/>
        <item x="1750"/>
        <item x="1344"/>
        <item x="444"/>
        <item x="250"/>
        <item x="950"/>
        <item x="1271"/>
        <item x="1530"/>
        <item x="811"/>
        <item x="759"/>
        <item x="154"/>
        <item x="1095"/>
        <item x="1157"/>
        <item x="915"/>
        <item x="435"/>
        <item x="1288"/>
        <item x="1164"/>
        <item x="1475"/>
        <item x="1128"/>
        <item x="838"/>
        <item x="1728"/>
        <item x="657"/>
        <item x="1183"/>
        <item x="522"/>
        <item x="1080"/>
        <item x="1759"/>
        <item x="1445"/>
        <item x="1537"/>
        <item x="312"/>
        <item x="1345"/>
        <item x="1251"/>
        <item x="1189"/>
        <item x="1256"/>
        <item x="701"/>
        <item x="762"/>
        <item x="606"/>
        <item x="589"/>
        <item x="1243"/>
        <item x="750"/>
        <item x="1713"/>
        <item x="66"/>
        <item x="1763"/>
        <item x="1603"/>
        <item x="1531"/>
        <item x="900"/>
        <item x="362"/>
        <item x="1026"/>
        <item x="612"/>
        <item x="393"/>
        <item x="4"/>
        <item x="1284"/>
        <item x="1691"/>
        <item x="307"/>
        <item x="443"/>
        <item x="727"/>
        <item x="1512"/>
        <item x="1522"/>
        <item x="595"/>
        <item x="231"/>
        <item x="826"/>
        <item x="187"/>
        <item x="162"/>
        <item x="775"/>
        <item x="893"/>
        <item x="1669"/>
        <item x="597"/>
        <item x="1434"/>
        <item x="889"/>
        <item x="1337"/>
        <item x="1619"/>
        <item x="1395"/>
        <item x="224"/>
        <item x="25"/>
        <item x="122"/>
        <item x="766"/>
        <item x="218"/>
        <item x="1525"/>
        <item x="1350"/>
        <item x="257"/>
        <item x="983"/>
        <item x="633"/>
        <item x="74"/>
        <item x="394"/>
        <item x="67"/>
        <item x="1020"/>
        <item x="1573"/>
        <item x="476"/>
        <item x="359"/>
        <item x="366"/>
        <item x="1565"/>
        <item x="1142"/>
        <item x="1275"/>
        <item x="1452"/>
        <item x="690"/>
        <item x="106"/>
        <item x="364"/>
        <item x="316"/>
        <item x="1596"/>
        <item x="1143"/>
        <item x="1180"/>
        <item x="1165"/>
        <item x="156"/>
        <item x="79"/>
        <item x="808"/>
        <item x="1173"/>
        <item x="412"/>
        <item x="827"/>
        <item x="1390"/>
        <item x="1458"/>
        <item x="885"/>
        <item x="620"/>
        <item x="975"/>
        <item x="455"/>
        <item x="1385"/>
        <item x="118"/>
        <item x="1001"/>
        <item x="1582"/>
        <item x="1131"/>
        <item x="1086"/>
        <item x="1372"/>
        <item x="1348"/>
        <item x="724"/>
        <item x="213"/>
        <item x="1451"/>
        <item x="796"/>
        <item x="1042"/>
        <item x="1343"/>
        <item x="529"/>
        <item x="345"/>
        <item x="261"/>
        <item x="1473"/>
        <item x="94"/>
        <item x="1174"/>
        <item x="280"/>
        <item x="1568"/>
        <item x="1327"/>
        <item x="243"/>
        <item x="338"/>
        <item x="756"/>
        <item x="1572"/>
        <item x="487"/>
        <item x="436"/>
        <item x="958"/>
        <item x="167"/>
        <item x="1192"/>
        <item x="1210"/>
        <item x="896"/>
        <item x="308"/>
        <item x="271"/>
        <item x="1519"/>
        <item x="420"/>
        <item x="861"/>
        <item x="763"/>
        <item x="152"/>
        <item x="228"/>
        <item x="577"/>
        <item x="977"/>
        <item x="294"/>
        <item x="214"/>
        <item x="403"/>
        <item x="877"/>
        <item x="1186"/>
        <item x="43"/>
        <item x="454"/>
        <item x="461"/>
        <item x="1428"/>
        <item x="904"/>
        <item x="140"/>
        <item x="1704"/>
        <item x="1416"/>
        <item x="922"/>
        <item x="549"/>
        <item x="1336"/>
        <item x="264"/>
        <item x="609"/>
        <item x="138"/>
        <item x="1130"/>
        <item x="1202"/>
        <item x="23"/>
        <item x="1168"/>
        <item x="667"/>
        <item x="1651"/>
        <item x="1066"/>
        <item x="230"/>
        <item x="801"/>
        <item x="267"/>
        <item x="1547"/>
        <item x="226"/>
        <item x="325"/>
        <item x="560"/>
        <item x="523"/>
        <item x="818"/>
        <item x="679"/>
        <item x="1431"/>
        <item x="1725"/>
        <item x="303"/>
        <item x="397"/>
        <item x="1094"/>
        <item x="206"/>
        <item x="1715"/>
        <item x="760"/>
        <item x="358"/>
        <item x="1722"/>
        <item x="991"/>
        <item x="1433"/>
        <item x="1479"/>
        <item x="1282"/>
        <item x="104"/>
        <item x="985"/>
        <item x="20"/>
        <item x="77"/>
        <item x="1199"/>
        <item x="1437"/>
        <item x="1055"/>
        <item x="765"/>
        <item x="1156"/>
        <item x="839"/>
        <item x="642"/>
        <item x="961"/>
        <item x="1169"/>
        <item x="692"/>
        <item x="1141"/>
        <item x="901"/>
        <item x="846"/>
        <item x="890"/>
        <item x="873"/>
        <item x="317"/>
        <item x="1009"/>
        <item x="776"/>
        <item x="1535"/>
        <item x="326"/>
        <item x="1675"/>
        <item x="65"/>
        <item x="662"/>
        <item x="129"/>
        <item x="416"/>
        <item x="1279"/>
        <item x="147"/>
        <item x="1686"/>
        <item x="27"/>
        <item x="1541"/>
        <item x="1167"/>
        <item x="822"/>
        <item x="1166"/>
        <item x="984"/>
        <item x="743"/>
        <item x="1404"/>
        <item x="1161"/>
        <item x="1359"/>
        <item x="217"/>
        <item x="615"/>
        <item x="757"/>
        <item x="123"/>
        <item x="976"/>
        <item x="1412"/>
        <item x="1706"/>
        <item x="1118"/>
        <item x="540"/>
        <item x="76"/>
        <item x="666"/>
        <item x="1069"/>
        <item x="1760"/>
        <item x="989"/>
        <item x="1551"/>
        <item x="78"/>
        <item x="237"/>
        <item x="1396"/>
        <item x="1365"/>
        <item x="1150"/>
        <item x="1248"/>
        <item x="987"/>
        <item x="342"/>
        <item x="1533"/>
        <item x="1723"/>
        <item x="1044"/>
        <item x="1234"/>
        <item x="805"/>
        <item x="1726"/>
        <item x="1231"/>
        <item x="1017"/>
        <item x="596"/>
        <item x="1316"/>
        <item x="262"/>
        <item x="719"/>
        <item x="441"/>
        <item x="672"/>
        <item x="1031"/>
        <item x="1204"/>
        <item x="598"/>
        <item x="1576"/>
        <item x="721"/>
        <item x="238"/>
        <item x="1310"/>
        <item x="1235"/>
        <item x="216"/>
        <item x="1624"/>
        <item x="543"/>
        <item x="1267"/>
        <item x="467"/>
        <item x="1679"/>
        <item x="1136"/>
        <item x="545"/>
        <item x="1206"/>
        <item x="816"/>
        <item x="1578"/>
        <item x="1586"/>
        <item x="103"/>
        <item x="1306"/>
        <item x="754"/>
        <item x="343"/>
        <item x="28"/>
        <item x="133"/>
        <item x="951"/>
        <item x="281"/>
        <item x="755"/>
        <item x="300"/>
        <item x="87"/>
        <item x="1371"/>
        <item x="1292"/>
        <item x="946"/>
        <item x="536"/>
        <item x="650"/>
        <item x="155"/>
        <item x="629"/>
        <item x="1468"/>
        <item x="1499"/>
        <item x="1486"/>
        <item x="195"/>
        <item x="600"/>
        <item x="1290"/>
        <item x="960"/>
        <item x="361"/>
        <item x="1104"/>
        <item x="175"/>
        <item x="1754"/>
        <item x="124"/>
        <item x="948"/>
        <item x="3"/>
        <item x="723"/>
        <item x="1685"/>
        <item x="1497"/>
        <item x="751"/>
        <item x="1370"/>
        <item x="1611"/>
        <item x="1317"/>
        <item x="1266"/>
        <item x="792"/>
        <item x="844"/>
        <item x="843"/>
        <item x="1439"/>
        <item x="357"/>
        <item x="1083"/>
        <item x="1546"/>
        <item x="1123"/>
        <item x="259"/>
        <item x="1430"/>
        <item x="88"/>
        <item x="1625"/>
        <item x="54"/>
        <item x="899"/>
        <item x="1291"/>
        <item x="1029"/>
        <item x="208"/>
        <item x="1633"/>
        <item x="907"/>
        <item x="819"/>
        <item x="1144"/>
        <item x="1340"/>
        <item x="313"/>
        <item x="1409"/>
        <item x="97"/>
        <item x="276"/>
        <item x="552"/>
        <item x="1614"/>
        <item x="917"/>
        <item x="788"/>
        <item x="585"/>
        <item x="584"/>
        <item x="1677"/>
        <item x="45"/>
        <item x="592"/>
        <item x="674"/>
        <item x="1073"/>
        <item x="1004"/>
        <item x="1420"/>
        <item x="423"/>
        <item x="770"/>
        <item x="990"/>
        <item x="29"/>
        <item x="1241"/>
        <item x="1125"/>
        <item x="346"/>
        <item x="537"/>
        <item x="1264"/>
        <item x="1375"/>
        <item x="1008"/>
        <item x="1122"/>
        <item x="232"/>
        <item x="452"/>
        <item x="1368"/>
        <item x="1140"/>
        <item x="1526"/>
        <item x="457"/>
        <item x="1121"/>
        <item x="1743"/>
        <item x="1381"/>
        <item x="1397"/>
        <item x="764"/>
        <item x="711"/>
        <item x="320"/>
        <item x="295"/>
        <item x="1221"/>
        <item x="909"/>
        <item x="1460"/>
        <item x="1341"/>
        <item x="1444"/>
        <item x="57"/>
        <item x="159"/>
        <item x="182"/>
        <item x="373"/>
        <item x="1542"/>
        <item x="982"/>
        <item x="1052"/>
        <item x="1591"/>
        <item x="994"/>
        <item x="728"/>
        <item x="80"/>
        <item x="729"/>
        <item x="1694"/>
        <item x="1508"/>
        <item x="395"/>
        <item x="1566"/>
        <item x="1188"/>
        <item x="1347"/>
        <item x="1226"/>
        <item x="567"/>
        <item x="289"/>
        <item x="161"/>
        <item x="279"/>
        <item x="1269"/>
        <item x="1671"/>
        <item x="15"/>
        <item x="1505"/>
        <item x="141"/>
        <item x="892"/>
        <item x="400"/>
        <item x="355"/>
        <item x="1418"/>
        <item x="851"/>
        <item x="1037"/>
        <item x="1075"/>
        <item x="502"/>
        <item x="752"/>
        <item x="1755"/>
        <item x="1480"/>
        <item x="1747"/>
        <item x="895"/>
        <item x="176"/>
        <item x="744"/>
        <item x="269"/>
        <item x="1011"/>
        <item x="46"/>
        <item x="997"/>
        <item x="99"/>
        <item x="1015"/>
        <item x="1198"/>
        <item x="1238"/>
        <item x="310"/>
        <item x="1604"/>
        <item x="1592"/>
        <item x="730"/>
        <item x="1244"/>
        <item x="347"/>
        <item x="1496"/>
        <item x="1041"/>
        <item x="1305"/>
        <item x="1308"/>
        <item x="356"/>
        <item x="582"/>
        <item x="191"/>
        <item x="1181"/>
        <item x="2"/>
        <item x="847"/>
        <item x="1334"/>
        <item x="1736"/>
        <item x="1630"/>
        <item x="1278"/>
        <item x="1358"/>
        <item x="477"/>
        <item x="335"/>
        <item x="849"/>
        <item x="189"/>
        <item x="850"/>
        <item x="1354"/>
        <item x="149"/>
        <item x="272"/>
        <item x="265"/>
        <item x="1617"/>
        <item x="1463"/>
        <item x="1382"/>
        <item x="449"/>
        <item x="720"/>
        <item x="734"/>
        <item x="370"/>
        <item x="1540"/>
        <item x="1153"/>
        <item x="992"/>
        <item x="953"/>
        <item x="894"/>
        <item x="869"/>
        <item x="1213"/>
        <item x="1108"/>
        <item x="1383"/>
        <item x="1491"/>
        <item x="1132"/>
        <item x="240"/>
        <item x="1584"/>
        <item x="1735"/>
        <item x="1185"/>
        <item x="931"/>
        <item x="26"/>
        <item x="1377"/>
        <item x="1602"/>
        <item x="1490"/>
        <item x="1036"/>
        <item x="146"/>
        <item x="880"/>
        <item x="1688"/>
        <item x="995"/>
        <item x="914"/>
        <item x="1607"/>
        <item x="1023"/>
        <item x="192"/>
        <item x="682"/>
        <item x="1357"/>
        <item x="658"/>
        <item x="1018"/>
        <item x="935"/>
        <item x="1528"/>
        <item x="644"/>
        <item x="1521"/>
        <item x="116"/>
        <item x="785"/>
        <item x="1556"/>
        <item x="1731"/>
        <item x="1560"/>
        <item x="177"/>
        <item x="386"/>
        <item x="450"/>
        <item x="1373"/>
        <item x="790"/>
        <item x="1516"/>
        <item x="867"/>
        <item x="912"/>
        <item x="1464"/>
        <item x="498"/>
        <item x="1322"/>
        <item x="93"/>
        <item x="1054"/>
        <item x="428"/>
        <item x="82"/>
        <item x="439"/>
        <item x="871"/>
        <item x="1378"/>
        <item x="1258"/>
        <item x="575"/>
        <item x="1653"/>
        <item x="715"/>
        <item x="1662"/>
        <item x="1613"/>
        <item x="1746"/>
        <item x="288"/>
        <item x="1590"/>
        <item x="1632"/>
        <item x="339"/>
        <item x="222"/>
        <item x="713"/>
        <item x="69"/>
        <item x="1105"/>
        <item x="235"/>
        <item x="590"/>
        <item x="942"/>
        <item x="8"/>
        <item x="424"/>
        <item x="459"/>
        <item x="1627"/>
        <item x="1091"/>
        <item x="501"/>
        <item x="1571"/>
        <item x="908"/>
        <item x="635"/>
        <item x="704"/>
        <item x="229"/>
        <item x="691"/>
        <item x="732"/>
        <item x="1711"/>
        <item x="668"/>
        <item x="1587"/>
        <item x="921"/>
        <item x="1515"/>
        <item x="130"/>
        <item x="1160"/>
        <item x="1051"/>
        <item x="375"/>
        <item x="856"/>
        <item x="18"/>
        <item x="1059"/>
        <item x="1259"/>
        <item x="489"/>
        <item x="1665"/>
        <item x="654"/>
        <item x="814"/>
        <item x="1211"/>
        <item x="1203"/>
        <item x="1366"/>
        <item x="1756"/>
        <item x="524"/>
        <item x="40"/>
        <item x="943"/>
        <item x="378"/>
        <item x="1159"/>
        <item x="1353"/>
        <item x="1424"/>
        <item x="1514"/>
        <item x="241"/>
        <item x="1406"/>
        <item x="1552"/>
        <item x="348"/>
        <item x="1227"/>
        <item x="245"/>
        <item x="1610"/>
        <item x="656"/>
        <item x="795"/>
        <item x="349"/>
        <item x="1335"/>
        <item x="1067"/>
        <item x="96"/>
        <item x="651"/>
        <item x="421"/>
        <item x="920"/>
        <item x="1392"/>
        <item x="173"/>
        <item x="916"/>
        <item x="978"/>
        <item x="709"/>
        <item x="603"/>
        <item x="148"/>
        <item x="327"/>
        <item x="887"/>
        <item x="1562"/>
        <item x="621"/>
        <item x="1214"/>
        <item x="512"/>
        <item x="1550"/>
        <item x="198"/>
        <item x="114"/>
        <item x="113"/>
        <item x="1742"/>
        <item x="1351"/>
        <item x="1236"/>
        <item x="1318"/>
        <item x="1115"/>
        <item x="797"/>
        <item x="1147"/>
        <item x="1301"/>
        <item x="1056"/>
        <item x="1000"/>
        <item x="1595"/>
        <item x="602"/>
        <item x="686"/>
        <item x="929"/>
        <item x="1674"/>
        <item x="1050"/>
        <item x="1502"/>
        <item x="941"/>
        <item x="840"/>
        <item x="784"/>
        <item x="1741"/>
        <item x="972"/>
        <item x="1749"/>
        <item x="1442"/>
        <item x="210"/>
        <item x="1700"/>
        <item x="865"/>
        <item x="1110"/>
        <item x="554"/>
        <item x="157"/>
        <item x="389"/>
        <item x="845"/>
        <item x="478"/>
        <item x="777"/>
        <item x="1339"/>
        <item x="1190"/>
        <item x="367"/>
        <item x="1701"/>
        <item x="911"/>
        <item x="1299"/>
        <item x="1504"/>
        <item x="559"/>
        <item x="37"/>
        <item x="322"/>
        <item x="1462"/>
        <item x="1380"/>
        <item x="71"/>
        <item x="878"/>
        <item x="605"/>
        <item x="1485"/>
        <item x="1304"/>
        <item x="971"/>
        <item x="200"/>
        <item x="1495"/>
        <item x="324"/>
        <item x="561"/>
        <item x="1469"/>
        <item x="1729"/>
        <item x="1028"/>
        <item x="263"/>
        <item x="1254"/>
        <item x="471"/>
        <item x="437"/>
        <item x="566"/>
        <item x="1470"/>
        <item x="1215"/>
        <item x="1414"/>
        <item x="746"/>
        <item x="1646"/>
        <item x="1149"/>
        <item x="44"/>
        <item x="1446"/>
        <item x="947"/>
        <item x="205"/>
        <item x="999"/>
        <item x="1507"/>
        <item x="678"/>
        <item x="207"/>
        <item x="121"/>
        <item x="1663"/>
        <item x="306"/>
        <item x="1717"/>
        <item x="430"/>
        <item x="21"/>
        <item x="251"/>
        <item x="286"/>
        <item x="273"/>
        <item x="1379"/>
        <item x="284"/>
        <item x="761"/>
        <item x="285"/>
        <item x="1697"/>
        <item x="1361"/>
        <item x="396"/>
        <item x="1014"/>
        <item x="1307"/>
        <item x="1544"/>
        <item x="866"/>
        <item x="1654"/>
        <item x="669"/>
        <item x="1046"/>
        <item x="105"/>
        <item x="930"/>
        <item x="1328"/>
        <item x="699"/>
        <item x="712"/>
        <item x="767"/>
        <item x="1146"/>
        <item x="1179"/>
        <item x="1319"/>
        <item x="637"/>
        <item x="970"/>
        <item x="696"/>
        <item x="1536"/>
        <item x="1315"/>
        <item x="321"/>
        <item x="1064"/>
        <item x="270"/>
        <item x="1138"/>
        <item x="924"/>
        <item x="1280"/>
        <item x="587"/>
        <item x="1092"/>
        <item x="484"/>
        <item x="782"/>
        <item x="747"/>
        <item x="876"/>
        <item x="1673"/>
        <item x="1666"/>
        <item x="1628"/>
        <item x="1374"/>
        <item x="541"/>
        <item x="1719"/>
        <item x="1472"/>
        <item x="1698"/>
        <item x="1255"/>
        <item x="1744"/>
        <item x="649"/>
        <item x="405"/>
        <item x="1716"/>
        <item x="1643"/>
        <item x="617"/>
        <item x="127"/>
        <item x="1081"/>
        <item x="735"/>
        <item x="581"/>
        <item x="1421"/>
        <item x="448"/>
        <item x="1503"/>
        <item x="810"/>
        <item x="1078"/>
        <item x="1362"/>
        <item x="680"/>
        <item x="24"/>
        <item x="708"/>
        <item x="1245"/>
        <item x="809"/>
        <item x="369"/>
        <item x="1689"/>
        <item x="1162"/>
        <item x="1346"/>
        <item x="1453"/>
        <item x="1072"/>
        <item x="1615"/>
        <item x="875"/>
        <item x="1513"/>
        <item x="1218"/>
        <item x="481"/>
        <item x="1019"/>
        <item x="401"/>
        <item x="1739"/>
        <item x="1593"/>
        <item x="874"/>
        <item x="1303"/>
        <item x="89"/>
        <item x="1376"/>
        <item x="1690"/>
        <item x="1748"/>
        <item x="1240"/>
        <item x="718"/>
        <item x="1369"/>
        <item x="91"/>
        <item x="1257"/>
        <item x="1252"/>
        <item x="906"/>
        <item x="1225"/>
        <item x="1163"/>
        <item x="1263"/>
        <item x="1636"/>
        <item x="56"/>
        <item x="1461"/>
        <item x="1659"/>
        <item x="1606"/>
        <item x="363"/>
        <item x="75"/>
        <item x="12"/>
        <item x="31"/>
        <item x="1594"/>
        <item x="136"/>
        <item x="532"/>
        <item x="738"/>
        <item x="1408"/>
        <item x="653"/>
        <item x="1471"/>
        <item x="1529"/>
        <item x="404"/>
        <item x="1752"/>
        <item x="1338"/>
        <item x="652"/>
        <item x="1088"/>
        <item x="153"/>
        <item x="1386"/>
        <item x="1079"/>
        <item x="344"/>
        <item x="185"/>
        <item x="913"/>
        <item x="371"/>
        <item x="820"/>
        <item x="710"/>
        <item x="1032"/>
        <item x="1070"/>
        <item x="417"/>
        <item x="5"/>
        <item x="671"/>
        <item x="910"/>
        <item x="368"/>
        <item x="526"/>
        <item x="183"/>
        <item x="1696"/>
        <item x="1727"/>
        <item x="1398"/>
        <item x="1577"/>
        <item x="1548"/>
        <item x="1532"/>
        <item x="695"/>
        <item x="551"/>
        <item x="492"/>
        <item x="410"/>
        <item x="1170"/>
        <item x="1649"/>
        <item x="1027"/>
        <item x="1682"/>
        <item x="829"/>
        <item x="665"/>
        <item x="115"/>
        <item x="399"/>
        <item x="774"/>
        <item x="993"/>
        <item x="1302"/>
        <item x="706"/>
        <item x="1599"/>
        <item x="1477"/>
        <item x="98"/>
        <item x="1585"/>
        <item x="677"/>
        <item x="858"/>
        <item x="1658"/>
        <item x="1025"/>
        <item x="664"/>
        <item x="1313"/>
        <item x="1333"/>
        <item x="62"/>
        <item x="1103"/>
        <item x="768"/>
        <item x="1232"/>
        <item x="859"/>
        <item x="1273"/>
        <item x="1010"/>
        <item x="1295"/>
        <item x="741"/>
        <item x="1450"/>
        <item x="703"/>
        <item x="919"/>
        <item x="1438"/>
        <item x="456"/>
        <item x="290"/>
        <item x="107"/>
        <item x="555"/>
        <item x="1194"/>
        <item x="563"/>
        <item x="398"/>
        <item x="1724"/>
        <item x="870"/>
        <item x="22"/>
        <item x="201"/>
        <item x="1082"/>
        <item x="128"/>
        <item x="1312"/>
        <item x="365"/>
        <item x="490"/>
        <item x="1510"/>
        <item x="740"/>
        <item x="505"/>
        <item x="588"/>
        <item x="1509"/>
        <item x="1106"/>
        <item x="419"/>
        <item x="429"/>
        <item x="604"/>
        <item x="663"/>
        <item x="1676"/>
        <item x="1440"/>
        <item x="778"/>
        <item x="934"/>
        <item x="506"/>
        <item x="1612"/>
        <item x="360"/>
        <item x="227"/>
        <item x="13"/>
        <item x="1558"/>
        <item x="1393"/>
        <item x="868"/>
        <item x="1112"/>
        <item x="314"/>
        <item x="36"/>
        <item x="1720"/>
        <item x="171"/>
        <item x="188"/>
        <item x="1425"/>
        <item x="1631"/>
        <item x="1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3"/>
        <item x="4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4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5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</rowItems>
  <colFields count="1">
    <field x="-2"/>
  </colFields>
  <colItems count="2">
    <i>
      <x/>
    </i>
    <i i="1">
      <x v="1"/>
    </i>
  </colItems>
  <dataFields count="2">
    <dataField name="Somme de Quantity" fld="2" baseField="0" baseItem="0"/>
    <dataField name="Somme d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8295B-03E8-48B8-87F4-C24880734BFA}" name="pvtPopularProduct--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E28:J40" firstHeaderRow="1" firstDataRow="2" firstDataCol="1"/>
  <pivotFields count="18">
    <pivotField showAll="0"/>
    <pivotField axis="axisRow" showAll="0" measureFilter="1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n="6 to 15" sd="0" x="5"/>
        <item n="Over 15" sd="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omme de Quantity" fld="2" baseField="0" baseItem="0"/>
  </dataFields>
  <chartFormats count="4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33AA8-B9D6-477B-85D5-748BEAFE6DA2}" name="pvtGender---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7">
  <location ref="A40:B45" firstHeaderRow="1" firstDataRow="1" firstDataCol="1"/>
  <pivotFields count="18">
    <pivotField showAll="0"/>
    <pivotField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n="6 to 15" sd="0" x="5"/>
        <item n="Over 15" sd="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Quantity" fld="2" baseField="0" baseItem="0"/>
  </dataFields>
  <chartFormats count="1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626D3-9F76-4E32-972F-F1A63DE547A2}" name="pvtMatrix--++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F8" firstHeaderRow="1" firstDataRow="2" firstDataCol="1"/>
  <pivotFields count="18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omme de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4E147-00C8-4FB1-89C7-6CE202F468FC}" name="pvtTotaux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0">
  <location ref="A22:B25" firstHeaderRow="1" firstDataRow="1" firstDataCol="1"/>
  <pivotFields count="18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4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3">
    <i>
      <x v="1"/>
    </i>
    <i>
      <x v="2"/>
    </i>
    <i>
      <x v="3"/>
    </i>
  </rowItems>
  <colItems count="1">
    <i/>
  </colItems>
  <dataFields count="1">
    <dataField name="Somme de Amount" fld="4" baseField="0" baseItem="0" numFmtId="164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_Mode" xr10:uid="{1C1DED72-894A-4D24-969F-43420ED63E8B}" sourceName="Order Mode">
  <pivotTables>
    <pivotTable tabId="5" name="pvtGender---"/>
    <pivotTable tabId="5" name="pvtDeliverDays"/>
    <pivotTable tabId="5" name="pvtPopular"/>
    <pivotTable tabId="5" name="pvtPopularProduct--"/>
    <pivotTable tabId="5" name="pvtRatings"/>
    <pivotTable tabId="5" name="pvtSummary"/>
    <pivotTable tabId="5" name="pvtTrend"/>
    <pivotTable tabId="7" name="pvtTotaux"/>
  </pivotTables>
  <data>
    <tabular pivotCacheId="1967912724">
      <items count="5">
        <i x="0" s="1"/>
        <i x="3" s="1"/>
        <i x="4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der_Value" xr10:uid="{F8D93720-8BB2-448D-876D-97D2F8ACACEA}" sourceName="Gender Value">
  <pivotTables>
    <pivotTable tabId="5" name="pvtTrend"/>
    <pivotTable tabId="5" name="pvtDeliverDays"/>
    <pivotTable tabId="5" name="pvtPopular"/>
    <pivotTable tabId="5" name="pvtRatings"/>
    <pivotTable tabId="5" name="pvtSummary"/>
    <pivotTable tabId="7" name="pvtTotaux"/>
  </pivotTables>
  <data>
    <tabular pivotCacheId="1967912724">
      <items count="4">
        <i x="2" s="1"/>
        <i x="1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Mode" xr10:uid="{E2F29F5B-239B-49A6-BEFA-FD7FA9F1399C}" cache="Segment_Order_Mode" caption="Order Mode" rowHeight="257175"/>
  <slicer name="Gender Value" xr10:uid="{9C16DB5D-0ED9-4AC4-BA85-B78D925F8720}" cache="Segment_Gender_Value" caption="Gender Valu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6"/>
    <tableColumn id="7" xr3:uid="{43BB5DBF-46E1-4185-80C0-4361F55A385C}" name="Ship Date" dataDxfId="5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4">
      <calculatedColumnFormula>orders[[#This Row],[Ship Date]]-orders[[#This Row],[Order Date]]</calculatedColumnFormula>
    </tableColumn>
    <tableColumn id="12" xr3:uid="{B071C0DA-87A9-4516-B4D9-4F5B7D3FF44A}" name="Weeknum" dataDxfId="3">
      <calculatedColumnFormula>WEEKNUM(orders[[#This Row],[Order Date]])</calculatedColumnFormula>
    </tableColumn>
    <tableColumn id="13" xr3:uid="{B8EA9E28-7541-4E76-9935-C26438661A18}" name="Gender Value" dataDxfId="2">
      <calculatedColumnFormula>IF(orders[[#This Row],[Customer Gender]]="M","Male",IF( orders[[#This Row],[Customer Gender]]="F","Female",IF( orders[[#This Row],[Customer Gender]]="O","Other", "Unknown")))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O2" sqref="O2"/>
    </sheetView>
  </sheetViews>
  <sheetFormatPr defaultColWidth="9.140625"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0" bestFit="1" customWidth="1"/>
    <col min="7" max="7" width="10.42578125" style="3" bestFit="1" customWidth="1"/>
    <col min="8" max="8" width="15.7109375" bestFit="1" customWidth="1"/>
    <col min="9" max="9" width="10.7109375" bestFit="1" customWidth="1"/>
    <col min="10" max="10" width="7.7109375" bestFit="1" customWidth="1"/>
    <col min="11" max="11" width="8.7109375" bestFit="1" customWidth="1"/>
    <col min="12" max="12" width="19.7109375" bestFit="1" customWidth="1"/>
    <col min="13" max="13" width="13.28515625" bestFit="1" customWidth="1"/>
    <col min="14" max="14" width="9.28515625" bestFit="1" customWidth="1"/>
    <col min="15" max="15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3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>
        <f>IF(orders[[#This Row],[Customer Gender]]="M","Male",IF( orders[[#This Row],[Customer Gender]]="F","Female",IF( orders[[#This Row],[Customer Gender]]="O","Other", "Unknown")))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3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>
        <f>IF(orders[[#This Row],[Customer Gender]]="M","Male",IF( orders[[#This Row],[Customer Gender]]="F","Female",IF( orders[[#This Row],[Customer Gender]]="O","Other", "Unknown")))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3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>
        <f>IF(orders[[#This Row],[Customer Gender]]="M","Male",IF( orders[[#This Row],[Customer Gender]]="F","Female",IF( orders[[#This Row],[Customer Gender]]="O","Other", "Unknown")))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3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>
        <f>IF(orders[[#This Row],[Customer Gender]]="M","Male",IF( orders[[#This Row],[Customer Gender]]="F","Female",IF( orders[[#This Row],[Customer Gender]]="O","Other", "Unknown")))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3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>
        <f>IF(orders[[#This Row],[Customer Gender]]="M","Male",IF( orders[[#This Row],[Customer Gender]]="F","Female",IF( orders[[#This Row],[Customer Gender]]="O","Other", "Unknown")))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3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>
        <f>IF(orders[[#This Row],[Customer Gender]]="M","Male",IF( orders[[#This Row],[Customer Gender]]="F","Female",IF( orders[[#This Row],[Customer Gender]]="O","Other", "Unknown")))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3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>
        <f>IF(orders[[#This Row],[Customer Gender]]="M","Male",IF( orders[[#This Row],[Customer Gender]]="F","Female",IF( orders[[#This Row],[Customer Gender]]="O","Other", "Unknown")))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3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>
        <f>IF(orders[[#This Row],[Customer Gender]]="M","Male",IF( orders[[#This Row],[Customer Gender]]="F","Female",IF( orders[[#This Row],[Customer Gender]]="O","Other", "Unknown")))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3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>
        <f>IF(orders[[#This Row],[Customer Gender]]="M","Male",IF( orders[[#This Row],[Customer Gender]]="F","Female",IF( orders[[#This Row],[Customer Gender]]="O","Other", "Unknown")))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3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>
        <f>IF(orders[[#This Row],[Customer Gender]]="M","Male",IF( orders[[#This Row],[Customer Gender]]="F","Female",IF( orders[[#This Row],[Customer Gender]]="O","Other", "Unknown")))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3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>
        <f>IF(orders[[#This Row],[Customer Gender]]="M","Male",IF( orders[[#This Row],[Customer Gender]]="F","Female",IF( orders[[#This Row],[Customer Gender]]="O","Other", "Unknown")))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3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>
        <f>IF(orders[[#This Row],[Customer Gender]]="M","Male",IF( orders[[#This Row],[Customer Gender]]="F","Female",IF( orders[[#This Row],[Customer Gender]]="O","Other", "Unknown")))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3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>
        <f>IF(orders[[#This Row],[Customer Gender]]="M","Male",IF( orders[[#This Row],[Customer Gender]]="F","Female",IF( orders[[#This Row],[Customer Gender]]="O","Other", "Unknown")))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3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>
        <f>IF(orders[[#This Row],[Customer Gender]]="M","Male",IF( orders[[#This Row],[Customer Gender]]="F","Female",IF( orders[[#This Row],[Customer Gender]]="O","Other", "Unknown")))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3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>
        <f>IF(orders[[#This Row],[Customer Gender]]="M","Male",IF( orders[[#This Row],[Customer Gender]]="F","Female",IF( orders[[#This Row],[Customer Gender]]="O","Other", "Unknown")))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3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>
        <f>IF(orders[[#This Row],[Customer Gender]]="M","Male",IF( orders[[#This Row],[Customer Gender]]="F","Female",IF( orders[[#This Row],[Customer Gender]]="O","Other", "Unknown")))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3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>
        <f>IF(orders[[#This Row],[Customer Gender]]="M","Male",IF( orders[[#This Row],[Customer Gender]]="F","Female",IF( orders[[#This Row],[Customer Gender]]="O","Other", "Unknown")))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3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>
        <f>IF(orders[[#This Row],[Customer Gender]]="M","Male",IF( orders[[#This Row],[Customer Gender]]="F","Female",IF( orders[[#This Row],[Customer Gender]]="O","Other", "Unknown")))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3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>
        <f>IF(orders[[#This Row],[Customer Gender]]="M","Male",IF( orders[[#This Row],[Customer Gender]]="F","Female",IF( orders[[#This Row],[Customer Gender]]="O","Other", "Unknown")))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3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>
        <f>IF(orders[[#This Row],[Customer Gender]]="M","Male",IF( orders[[#This Row],[Customer Gender]]="F","Female",IF( orders[[#This Row],[Customer Gender]]="O","Other", "Unknown")))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3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>
        <f>IF(orders[[#This Row],[Customer Gender]]="M","Male",IF( orders[[#This Row],[Customer Gender]]="F","Female",IF( orders[[#This Row],[Customer Gender]]="O","Other", "Unknown")))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3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>
        <f>IF(orders[[#This Row],[Customer Gender]]="M","Male",IF( orders[[#This Row],[Customer Gender]]="F","Female",IF( orders[[#This Row],[Customer Gender]]="O","Other", "Unknown")))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3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>
        <f>IF(orders[[#This Row],[Customer Gender]]="M","Male",IF( orders[[#This Row],[Customer Gender]]="F","Female",IF( orders[[#This Row],[Customer Gender]]="O","Other", "Unknown")))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3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>
        <f>IF(orders[[#This Row],[Customer Gender]]="M","Male",IF( orders[[#This Row],[Customer Gender]]="F","Female",IF( orders[[#This Row],[Customer Gender]]="O","Other", "Unknown")))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3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>
        <f>IF(orders[[#This Row],[Customer Gender]]="M","Male",IF( orders[[#This Row],[Customer Gender]]="F","Female",IF( orders[[#This Row],[Customer Gender]]="O","Other", "Unknown")))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3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>
        <f>IF(orders[[#This Row],[Customer Gender]]="M","Male",IF( orders[[#This Row],[Customer Gender]]="F","Female",IF( orders[[#This Row],[Customer Gender]]="O","Other", "Unknown")))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3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>
        <f>IF(orders[[#This Row],[Customer Gender]]="M","Male",IF( orders[[#This Row],[Customer Gender]]="F","Female",IF( orders[[#This Row],[Customer Gender]]="O","Other", "Unknown")))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3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>
        <f>IF(orders[[#This Row],[Customer Gender]]="M","Male",IF( orders[[#This Row],[Customer Gender]]="F","Female",IF( orders[[#This Row],[Customer Gender]]="O","Other", "Unknown")))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3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>
        <f>IF(orders[[#This Row],[Customer Gender]]="M","Male",IF( orders[[#This Row],[Customer Gender]]="F","Female",IF( orders[[#This Row],[Customer Gender]]="O","Other", "Unknown")))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3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>
        <f>IF(orders[[#This Row],[Customer Gender]]="M","Male",IF( orders[[#This Row],[Customer Gender]]="F","Female",IF( orders[[#This Row],[Customer Gender]]="O","Other", "Unknown")))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3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>
        <f>IF(orders[[#This Row],[Customer Gender]]="M","Male",IF( orders[[#This Row],[Customer Gender]]="F","Female",IF( orders[[#This Row],[Customer Gender]]="O","Other", "Unknown")))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3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>
        <f>IF(orders[[#This Row],[Customer Gender]]="M","Male",IF( orders[[#This Row],[Customer Gender]]="F","Female",IF( orders[[#This Row],[Customer Gender]]="O","Other", "Unknown")))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3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>
        <f>IF(orders[[#This Row],[Customer Gender]]="M","Male",IF( orders[[#This Row],[Customer Gender]]="F","Female",IF( orders[[#This Row],[Customer Gender]]="O","Other", "Unknown")))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3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>
        <f>IF(orders[[#This Row],[Customer Gender]]="M","Male",IF( orders[[#This Row],[Customer Gender]]="F","Female",IF( orders[[#This Row],[Customer Gender]]="O","Other", "Unknown")))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3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>
        <f>IF(orders[[#This Row],[Customer Gender]]="M","Male",IF( orders[[#This Row],[Customer Gender]]="F","Female",IF( orders[[#This Row],[Customer Gender]]="O","Other", "Unknown")))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3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>
        <f>IF(orders[[#This Row],[Customer Gender]]="M","Male",IF( orders[[#This Row],[Customer Gender]]="F","Female",IF( orders[[#This Row],[Customer Gender]]="O","Other", "Unknown")))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3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>
        <f>IF(orders[[#This Row],[Customer Gender]]="M","Male",IF( orders[[#This Row],[Customer Gender]]="F","Female",IF( orders[[#This Row],[Customer Gender]]="O","Other", "Unknown")))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3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>
        <f>IF(orders[[#This Row],[Customer Gender]]="M","Male",IF( orders[[#This Row],[Customer Gender]]="F","Female",IF( orders[[#This Row],[Customer Gender]]="O","Other", "Unknown")))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3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>
        <f>IF(orders[[#This Row],[Customer Gender]]="M","Male",IF( orders[[#This Row],[Customer Gender]]="F","Female",IF( orders[[#This Row],[Customer Gender]]="O","Other", "Unknown")))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3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>
        <f>IF(orders[[#This Row],[Customer Gender]]="M","Male",IF( orders[[#This Row],[Customer Gender]]="F","Female",IF( orders[[#This Row],[Customer Gender]]="O","Other", "Unknown")))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3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>
        <f>IF(orders[[#This Row],[Customer Gender]]="M","Male",IF( orders[[#This Row],[Customer Gender]]="F","Female",IF( orders[[#This Row],[Customer Gender]]="O","Other", "Unknown")))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3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>
        <f>IF(orders[[#This Row],[Customer Gender]]="M","Male",IF( orders[[#This Row],[Customer Gender]]="F","Female",IF( orders[[#This Row],[Customer Gender]]="O","Other", "Unknown")))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3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>
        <f>IF(orders[[#This Row],[Customer Gender]]="M","Male",IF( orders[[#This Row],[Customer Gender]]="F","Female",IF( orders[[#This Row],[Customer Gender]]="O","Other", "Unknown")))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3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>
        <f>IF(orders[[#This Row],[Customer Gender]]="M","Male",IF( orders[[#This Row],[Customer Gender]]="F","Female",IF( orders[[#This Row],[Customer Gender]]="O","Other", "Unknown")))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3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>
        <f>IF(orders[[#This Row],[Customer Gender]]="M","Male",IF( orders[[#This Row],[Customer Gender]]="F","Female",IF( orders[[#This Row],[Customer Gender]]="O","Other", "Unknown")))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3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>
        <f>IF(orders[[#This Row],[Customer Gender]]="M","Male",IF( orders[[#This Row],[Customer Gender]]="F","Female",IF( orders[[#This Row],[Customer Gender]]="O","Other", "Unknown")))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3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>
        <f>IF(orders[[#This Row],[Customer Gender]]="M","Male",IF( orders[[#This Row],[Customer Gender]]="F","Female",IF( orders[[#This Row],[Customer Gender]]="O","Other", "Unknown")))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3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>
        <f>IF(orders[[#This Row],[Customer Gender]]="M","Male",IF( orders[[#This Row],[Customer Gender]]="F","Female",IF( orders[[#This Row],[Customer Gender]]="O","Other", "Unknown")))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3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>
        <f>IF(orders[[#This Row],[Customer Gender]]="M","Male",IF( orders[[#This Row],[Customer Gender]]="F","Female",IF( orders[[#This Row],[Customer Gender]]="O","Other", "Unknown")))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3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>
        <f>IF(orders[[#This Row],[Customer Gender]]="M","Male",IF( orders[[#This Row],[Customer Gender]]="F","Female",IF( orders[[#This Row],[Customer Gender]]="O","Other", "Unknown")))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3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>
        <f>IF(orders[[#This Row],[Customer Gender]]="M","Male",IF( orders[[#This Row],[Customer Gender]]="F","Female",IF( orders[[#This Row],[Customer Gender]]="O","Other", "Unknown")))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3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>
        <f>IF(orders[[#This Row],[Customer Gender]]="M","Male",IF( orders[[#This Row],[Customer Gender]]="F","Female",IF( orders[[#This Row],[Customer Gender]]="O","Other", "Unknown")))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3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>
        <f>IF(orders[[#This Row],[Customer Gender]]="M","Male",IF( orders[[#This Row],[Customer Gender]]="F","Female",IF( orders[[#This Row],[Customer Gender]]="O","Other", "Unknown")))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3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>
        <f>IF(orders[[#This Row],[Customer Gender]]="M","Male",IF( orders[[#This Row],[Customer Gender]]="F","Female",IF( orders[[#This Row],[Customer Gender]]="O","Other", "Unknown")))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3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>
        <f>IF(orders[[#This Row],[Customer Gender]]="M","Male",IF( orders[[#This Row],[Customer Gender]]="F","Female",IF( orders[[#This Row],[Customer Gender]]="O","Other", "Unknown")))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3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>
        <f>IF(orders[[#This Row],[Customer Gender]]="M","Male",IF( orders[[#This Row],[Customer Gender]]="F","Female",IF( orders[[#This Row],[Customer Gender]]="O","Other", "Unknown")))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3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>
        <f>IF(orders[[#This Row],[Customer Gender]]="M","Male",IF( orders[[#This Row],[Customer Gender]]="F","Female",IF( orders[[#This Row],[Customer Gender]]="O","Other", "Unknown")))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3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>
        <f>IF(orders[[#This Row],[Customer Gender]]="M","Male",IF( orders[[#This Row],[Customer Gender]]="F","Female",IF( orders[[#This Row],[Customer Gender]]="O","Other", "Unknown")))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3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>
        <f>IF(orders[[#This Row],[Customer Gender]]="M","Male",IF( orders[[#This Row],[Customer Gender]]="F","Female",IF( orders[[#This Row],[Customer Gender]]="O","Other", "Unknown")))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3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>
        <f>IF(orders[[#This Row],[Customer Gender]]="M","Male",IF( orders[[#This Row],[Customer Gender]]="F","Female",IF( orders[[#This Row],[Customer Gender]]="O","Other", "Unknown")))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3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>
        <f>IF(orders[[#This Row],[Customer Gender]]="M","Male",IF( orders[[#This Row],[Customer Gender]]="F","Female",IF( orders[[#This Row],[Customer Gender]]="O","Other", "Unknown")))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3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>
        <f>IF(orders[[#This Row],[Customer Gender]]="M","Male",IF( orders[[#This Row],[Customer Gender]]="F","Female",IF( orders[[#This Row],[Customer Gender]]="O","Other", "Unknown")))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3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>
        <f>IF(orders[[#This Row],[Customer Gender]]="M","Male",IF( orders[[#This Row],[Customer Gender]]="F","Female",IF( orders[[#This Row],[Customer Gender]]="O","Other", "Unknown")))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3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>
        <f>IF(orders[[#This Row],[Customer Gender]]="M","Male",IF( orders[[#This Row],[Customer Gender]]="F","Female",IF( orders[[#This Row],[Customer Gender]]="O","Other", "Unknown")))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3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>
        <f>IF(orders[[#This Row],[Customer Gender]]="M","Male",IF( orders[[#This Row],[Customer Gender]]="F","Female",IF( orders[[#This Row],[Customer Gender]]="O","Other", "Unknown")))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3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>
        <f>IF(orders[[#This Row],[Customer Gender]]="M","Male",IF( orders[[#This Row],[Customer Gender]]="F","Female",IF( orders[[#This Row],[Customer Gender]]="O","Other", "Unknown")))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3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>
        <f>IF(orders[[#This Row],[Customer Gender]]="M","Male",IF( orders[[#This Row],[Customer Gender]]="F","Female",IF( orders[[#This Row],[Customer Gender]]="O","Other", "Unknown")))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3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>
        <f>IF(orders[[#This Row],[Customer Gender]]="M","Male",IF( orders[[#This Row],[Customer Gender]]="F","Female",IF( orders[[#This Row],[Customer Gender]]="O","Other", "Unknown")))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3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>
        <f>IF(orders[[#This Row],[Customer Gender]]="M","Male",IF( orders[[#This Row],[Customer Gender]]="F","Female",IF( orders[[#This Row],[Customer Gender]]="O","Other", "Unknown")))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3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>
        <f>IF(orders[[#This Row],[Customer Gender]]="M","Male",IF( orders[[#This Row],[Customer Gender]]="F","Female",IF( orders[[#This Row],[Customer Gender]]="O","Other", "Unknown")))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3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>
        <f>IF(orders[[#This Row],[Customer Gender]]="M","Male",IF( orders[[#This Row],[Customer Gender]]="F","Female",IF( orders[[#This Row],[Customer Gender]]="O","Other", "Unknown")))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3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>
        <f>IF(orders[[#This Row],[Customer Gender]]="M","Male",IF( orders[[#This Row],[Customer Gender]]="F","Female",IF( orders[[#This Row],[Customer Gender]]="O","Other", "Unknown")))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3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>
        <f>IF(orders[[#This Row],[Customer Gender]]="M","Male",IF( orders[[#This Row],[Customer Gender]]="F","Female",IF( orders[[#This Row],[Customer Gender]]="O","Other", "Unknown")))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3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>
        <f>IF(orders[[#This Row],[Customer Gender]]="M","Male",IF( orders[[#This Row],[Customer Gender]]="F","Female",IF( orders[[#This Row],[Customer Gender]]="O","Other", "Unknown")))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3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>
        <f>IF(orders[[#This Row],[Customer Gender]]="M","Male",IF( orders[[#This Row],[Customer Gender]]="F","Female",IF( orders[[#This Row],[Customer Gender]]="O","Other", "Unknown")))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3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>
        <f>IF(orders[[#This Row],[Customer Gender]]="M","Male",IF( orders[[#This Row],[Customer Gender]]="F","Female",IF( orders[[#This Row],[Customer Gender]]="O","Other", "Unknown")))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3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>
        <f>IF(orders[[#This Row],[Customer Gender]]="M","Male",IF( orders[[#This Row],[Customer Gender]]="F","Female",IF( orders[[#This Row],[Customer Gender]]="O","Other", "Unknown")))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3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>
        <f>IF(orders[[#This Row],[Customer Gender]]="M","Male",IF( orders[[#This Row],[Customer Gender]]="F","Female",IF( orders[[#This Row],[Customer Gender]]="O","Other", "Unknown")))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3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>
        <f>IF(orders[[#This Row],[Customer Gender]]="M","Male",IF( orders[[#This Row],[Customer Gender]]="F","Female",IF( orders[[#This Row],[Customer Gender]]="O","Other", "Unknown")))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3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>
        <f>IF(orders[[#This Row],[Customer Gender]]="M","Male",IF( orders[[#This Row],[Customer Gender]]="F","Female",IF( orders[[#This Row],[Customer Gender]]="O","Other", "Unknown")))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3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>
        <f>IF(orders[[#This Row],[Customer Gender]]="M","Male",IF( orders[[#This Row],[Customer Gender]]="F","Female",IF( orders[[#This Row],[Customer Gender]]="O","Other", "Unknown")))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3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>
        <f>IF(orders[[#This Row],[Customer Gender]]="M","Male",IF( orders[[#This Row],[Customer Gender]]="F","Female",IF( orders[[#This Row],[Customer Gender]]="O","Other", "Unknown")))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3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>
        <f>IF(orders[[#This Row],[Customer Gender]]="M","Male",IF( orders[[#This Row],[Customer Gender]]="F","Female",IF( orders[[#This Row],[Customer Gender]]="O","Other", "Unknown")))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3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>
        <f>IF(orders[[#This Row],[Customer Gender]]="M","Male",IF( orders[[#This Row],[Customer Gender]]="F","Female",IF( orders[[#This Row],[Customer Gender]]="O","Other", "Unknown")))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3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>
        <f>IF(orders[[#This Row],[Customer Gender]]="M","Male",IF( orders[[#This Row],[Customer Gender]]="F","Female",IF( orders[[#This Row],[Customer Gender]]="O","Other", "Unknown")))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3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>
        <f>IF(orders[[#This Row],[Customer Gender]]="M","Male",IF( orders[[#This Row],[Customer Gender]]="F","Female",IF( orders[[#This Row],[Customer Gender]]="O","Other", "Unknown")))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3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>
        <f>IF(orders[[#This Row],[Customer Gender]]="M","Male",IF( orders[[#This Row],[Customer Gender]]="F","Female",IF( orders[[#This Row],[Customer Gender]]="O","Other", "Unknown")))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3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>
        <f>IF(orders[[#This Row],[Customer Gender]]="M","Male",IF( orders[[#This Row],[Customer Gender]]="F","Female",IF( orders[[#This Row],[Customer Gender]]="O","Other", "Unknown")))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3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>
        <f>IF(orders[[#This Row],[Customer Gender]]="M","Male",IF( orders[[#This Row],[Customer Gender]]="F","Female",IF( orders[[#This Row],[Customer Gender]]="O","Other", "Unknown")))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3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>
        <f>IF(orders[[#This Row],[Customer Gender]]="M","Male",IF( orders[[#This Row],[Customer Gender]]="F","Female",IF( orders[[#This Row],[Customer Gender]]="O","Other", "Unknown")))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3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>
        <f>IF(orders[[#This Row],[Customer Gender]]="M","Male",IF( orders[[#This Row],[Customer Gender]]="F","Female",IF( orders[[#This Row],[Customer Gender]]="O","Other", "Unknown")))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3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>
        <f>IF(orders[[#This Row],[Customer Gender]]="M","Male",IF( orders[[#This Row],[Customer Gender]]="F","Female",IF( orders[[#This Row],[Customer Gender]]="O","Other", "Unknown")))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3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>
        <f>IF(orders[[#This Row],[Customer Gender]]="M","Male",IF( orders[[#This Row],[Customer Gender]]="F","Female",IF( orders[[#This Row],[Customer Gender]]="O","Other", "Unknown")))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3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>
        <f>IF(orders[[#This Row],[Customer Gender]]="M","Male",IF( orders[[#This Row],[Customer Gender]]="F","Female",IF( orders[[#This Row],[Customer Gender]]="O","Other", "Unknown")))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3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>
        <f>IF(orders[[#This Row],[Customer Gender]]="M","Male",IF( orders[[#This Row],[Customer Gender]]="F","Female",IF( orders[[#This Row],[Customer Gender]]="O","Other", "Unknown")))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3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>
        <f>IF(orders[[#This Row],[Customer Gender]]="M","Male",IF( orders[[#This Row],[Customer Gender]]="F","Female",IF( orders[[#This Row],[Customer Gender]]="O","Other", "Unknown")))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3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>
        <f>IF(orders[[#This Row],[Customer Gender]]="M","Male",IF( orders[[#This Row],[Customer Gender]]="F","Female",IF( orders[[#This Row],[Customer Gender]]="O","Other", "Unknown")))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3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>
        <f>IF(orders[[#This Row],[Customer Gender]]="M","Male",IF( orders[[#This Row],[Customer Gender]]="F","Female",IF( orders[[#This Row],[Customer Gender]]="O","Other", "Unknown")))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3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>
        <f>IF(orders[[#This Row],[Customer Gender]]="M","Male",IF( orders[[#This Row],[Customer Gender]]="F","Female",IF( orders[[#This Row],[Customer Gender]]="O","Other", "Unknown")))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3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>
        <f>IF(orders[[#This Row],[Customer Gender]]="M","Male",IF( orders[[#This Row],[Customer Gender]]="F","Female",IF( orders[[#This Row],[Customer Gender]]="O","Other", "Unknown")))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3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>
        <f>IF(orders[[#This Row],[Customer Gender]]="M","Male",IF( orders[[#This Row],[Customer Gender]]="F","Female",IF( orders[[#This Row],[Customer Gender]]="O","Other", "Unknown")))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3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>
        <f>IF(orders[[#This Row],[Customer Gender]]="M","Male",IF( orders[[#This Row],[Customer Gender]]="F","Female",IF( orders[[#This Row],[Customer Gender]]="O","Other", "Unknown")))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3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>
        <f>IF(orders[[#This Row],[Customer Gender]]="M","Male",IF( orders[[#This Row],[Customer Gender]]="F","Female",IF( orders[[#This Row],[Customer Gender]]="O","Other", "Unknown")))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3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>
        <f>IF(orders[[#This Row],[Customer Gender]]="M","Male",IF( orders[[#This Row],[Customer Gender]]="F","Female",IF( orders[[#This Row],[Customer Gender]]="O","Other", "Unknown")))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3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>
        <f>IF(orders[[#This Row],[Customer Gender]]="M","Male",IF( orders[[#This Row],[Customer Gender]]="F","Female",IF( orders[[#This Row],[Customer Gender]]="O","Other", "Unknown")))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3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>
        <f>IF(orders[[#This Row],[Customer Gender]]="M","Male",IF( orders[[#This Row],[Customer Gender]]="F","Female",IF( orders[[#This Row],[Customer Gender]]="O","Other", "Unknown")))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3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>
        <f>IF(orders[[#This Row],[Customer Gender]]="M","Male",IF( orders[[#This Row],[Customer Gender]]="F","Female",IF( orders[[#This Row],[Customer Gender]]="O","Other", "Unknown")))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3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>
        <f>IF(orders[[#This Row],[Customer Gender]]="M","Male",IF( orders[[#This Row],[Customer Gender]]="F","Female",IF( orders[[#This Row],[Customer Gender]]="O","Other", "Unknown")))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3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>
        <f>IF(orders[[#This Row],[Customer Gender]]="M","Male",IF( orders[[#This Row],[Customer Gender]]="F","Female",IF( orders[[#This Row],[Customer Gender]]="O","Other", "Unknown")))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3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>
        <f>IF(orders[[#This Row],[Customer Gender]]="M","Male",IF( orders[[#This Row],[Customer Gender]]="F","Female",IF( orders[[#This Row],[Customer Gender]]="O","Other", "Unknown")))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3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>
        <f>IF(orders[[#This Row],[Customer Gender]]="M","Male",IF( orders[[#This Row],[Customer Gender]]="F","Female",IF( orders[[#This Row],[Customer Gender]]="O","Other", "Unknown")))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3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>
        <f>IF(orders[[#This Row],[Customer Gender]]="M","Male",IF( orders[[#This Row],[Customer Gender]]="F","Female",IF( orders[[#This Row],[Customer Gender]]="O","Other", "Unknown")))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3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>
        <f>IF(orders[[#This Row],[Customer Gender]]="M","Male",IF( orders[[#This Row],[Customer Gender]]="F","Female",IF( orders[[#This Row],[Customer Gender]]="O","Other", "Unknown")))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3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>
        <f>IF(orders[[#This Row],[Customer Gender]]="M","Male",IF( orders[[#This Row],[Customer Gender]]="F","Female",IF( orders[[#This Row],[Customer Gender]]="O","Other", "Unknown")))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3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>
        <f>IF(orders[[#This Row],[Customer Gender]]="M","Male",IF( orders[[#This Row],[Customer Gender]]="F","Female",IF( orders[[#This Row],[Customer Gender]]="O","Other", "Unknown")))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3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>
        <f>IF(orders[[#This Row],[Customer Gender]]="M","Male",IF( orders[[#This Row],[Customer Gender]]="F","Female",IF( orders[[#This Row],[Customer Gender]]="O","Other", "Unknown")))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3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>
        <f>IF(orders[[#This Row],[Customer Gender]]="M","Male",IF( orders[[#This Row],[Customer Gender]]="F","Female",IF( orders[[#This Row],[Customer Gender]]="O","Other", "Unknown")))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3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>
        <f>IF(orders[[#This Row],[Customer Gender]]="M","Male",IF( orders[[#This Row],[Customer Gender]]="F","Female",IF( orders[[#This Row],[Customer Gender]]="O","Other", "Unknown")))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3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>
        <f>IF(orders[[#This Row],[Customer Gender]]="M","Male",IF( orders[[#This Row],[Customer Gender]]="F","Female",IF( orders[[#This Row],[Customer Gender]]="O","Other", "Unknown")))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3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>
        <f>IF(orders[[#This Row],[Customer Gender]]="M","Male",IF( orders[[#This Row],[Customer Gender]]="F","Female",IF( orders[[#This Row],[Customer Gender]]="O","Other", "Unknown")))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3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>
        <f>IF(orders[[#This Row],[Customer Gender]]="M","Male",IF( orders[[#This Row],[Customer Gender]]="F","Female",IF( orders[[#This Row],[Customer Gender]]="O","Other", "Unknown")))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3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>
        <f>IF(orders[[#This Row],[Customer Gender]]="M","Male",IF( orders[[#This Row],[Customer Gender]]="F","Female",IF( orders[[#This Row],[Customer Gender]]="O","Other", "Unknown")))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3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>
        <f>IF(orders[[#This Row],[Customer Gender]]="M","Male",IF( orders[[#This Row],[Customer Gender]]="F","Female",IF( orders[[#This Row],[Customer Gender]]="O","Other", "Unknown")))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3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>
        <f>IF(orders[[#This Row],[Customer Gender]]="M","Male",IF( orders[[#This Row],[Customer Gender]]="F","Female",IF( orders[[#This Row],[Customer Gender]]="O","Other", "Unknown")))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3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>
        <f>IF(orders[[#This Row],[Customer Gender]]="M","Male",IF( orders[[#This Row],[Customer Gender]]="F","Female",IF( orders[[#This Row],[Customer Gender]]="O","Other", "Unknown")))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3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>
        <f>IF(orders[[#This Row],[Customer Gender]]="M","Male",IF( orders[[#This Row],[Customer Gender]]="F","Female",IF( orders[[#This Row],[Customer Gender]]="O","Other", "Unknown")))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3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>
        <f>IF(orders[[#This Row],[Customer Gender]]="M","Male",IF( orders[[#This Row],[Customer Gender]]="F","Female",IF( orders[[#This Row],[Customer Gender]]="O","Other", "Unknown")))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3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>
        <f>IF(orders[[#This Row],[Customer Gender]]="M","Male",IF( orders[[#This Row],[Customer Gender]]="F","Female",IF( orders[[#This Row],[Customer Gender]]="O","Other", "Unknown")))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3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>
        <f>IF(orders[[#This Row],[Customer Gender]]="M","Male",IF( orders[[#This Row],[Customer Gender]]="F","Female",IF( orders[[#This Row],[Customer Gender]]="O","Other", "Unknown")))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3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>
        <f>IF(orders[[#This Row],[Customer Gender]]="M","Male",IF( orders[[#This Row],[Customer Gender]]="F","Female",IF( orders[[#This Row],[Customer Gender]]="O","Other", "Unknown")))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3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>
        <f>IF(orders[[#This Row],[Customer Gender]]="M","Male",IF( orders[[#This Row],[Customer Gender]]="F","Female",IF( orders[[#This Row],[Customer Gender]]="O","Other", "Unknown")))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3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>
        <f>IF(orders[[#This Row],[Customer Gender]]="M","Male",IF( orders[[#This Row],[Customer Gender]]="F","Female",IF( orders[[#This Row],[Customer Gender]]="O","Other", "Unknown")))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3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>
        <f>IF(orders[[#This Row],[Customer Gender]]="M","Male",IF( orders[[#This Row],[Customer Gender]]="F","Female",IF( orders[[#This Row],[Customer Gender]]="O","Other", "Unknown")))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3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>
        <f>IF(orders[[#This Row],[Customer Gender]]="M","Male",IF( orders[[#This Row],[Customer Gender]]="F","Female",IF( orders[[#This Row],[Customer Gender]]="O","Other", "Unknown")))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3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>
        <f>IF(orders[[#This Row],[Customer Gender]]="M","Male",IF( orders[[#This Row],[Customer Gender]]="F","Female",IF( orders[[#This Row],[Customer Gender]]="O","Other", "Unknown")))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3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>
        <f>IF(orders[[#This Row],[Customer Gender]]="M","Male",IF( orders[[#This Row],[Customer Gender]]="F","Female",IF( orders[[#This Row],[Customer Gender]]="O","Other", "Unknown")))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3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>
        <f>IF(orders[[#This Row],[Customer Gender]]="M","Male",IF( orders[[#This Row],[Customer Gender]]="F","Female",IF( orders[[#This Row],[Customer Gender]]="O","Other", "Unknown")))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3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>
        <f>IF(orders[[#This Row],[Customer Gender]]="M","Male",IF( orders[[#This Row],[Customer Gender]]="F","Female",IF( orders[[#This Row],[Customer Gender]]="O","Other", "Unknown")))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3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>
        <f>IF(orders[[#This Row],[Customer Gender]]="M","Male",IF( orders[[#This Row],[Customer Gender]]="F","Female",IF( orders[[#This Row],[Customer Gender]]="O","Other", "Unknown")))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3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>
        <f>IF(orders[[#This Row],[Customer Gender]]="M","Male",IF( orders[[#This Row],[Customer Gender]]="F","Female",IF( orders[[#This Row],[Customer Gender]]="O","Other", "Unknown")))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3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>
        <f>IF(orders[[#This Row],[Customer Gender]]="M","Male",IF( orders[[#This Row],[Customer Gender]]="F","Female",IF( orders[[#This Row],[Customer Gender]]="O","Other", "Unknown")))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3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>
        <f>IF(orders[[#This Row],[Customer Gender]]="M","Male",IF( orders[[#This Row],[Customer Gender]]="F","Female",IF( orders[[#This Row],[Customer Gender]]="O","Other", "Unknown")))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3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>
        <f>IF(orders[[#This Row],[Customer Gender]]="M","Male",IF( orders[[#This Row],[Customer Gender]]="F","Female",IF( orders[[#This Row],[Customer Gender]]="O","Other", "Unknown")))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3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>
        <f>IF(orders[[#This Row],[Customer Gender]]="M","Male",IF( orders[[#This Row],[Customer Gender]]="F","Female",IF( orders[[#This Row],[Customer Gender]]="O","Other", "Unknown")))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3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>
        <f>IF(orders[[#This Row],[Customer Gender]]="M","Male",IF( orders[[#This Row],[Customer Gender]]="F","Female",IF( orders[[#This Row],[Customer Gender]]="O","Other", "Unknown")))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3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>
        <f>IF(orders[[#This Row],[Customer Gender]]="M","Male",IF( orders[[#This Row],[Customer Gender]]="F","Female",IF( orders[[#This Row],[Customer Gender]]="O","Other", "Unknown")))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3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>
        <f>IF(orders[[#This Row],[Customer Gender]]="M","Male",IF( orders[[#This Row],[Customer Gender]]="F","Female",IF( orders[[#This Row],[Customer Gender]]="O","Other", "Unknown")))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3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>
        <f>IF(orders[[#This Row],[Customer Gender]]="M","Male",IF( orders[[#This Row],[Customer Gender]]="F","Female",IF( orders[[#This Row],[Customer Gender]]="O","Other", "Unknown")))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3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>
        <f>IF(orders[[#This Row],[Customer Gender]]="M","Male",IF( orders[[#This Row],[Customer Gender]]="F","Female",IF( orders[[#This Row],[Customer Gender]]="O","Other", "Unknown")))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3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>
        <f>IF(orders[[#This Row],[Customer Gender]]="M","Male",IF( orders[[#This Row],[Customer Gender]]="F","Female",IF( orders[[#This Row],[Customer Gender]]="O","Other", "Unknown")))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3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>
        <f>IF(orders[[#This Row],[Customer Gender]]="M","Male",IF( orders[[#This Row],[Customer Gender]]="F","Female",IF( orders[[#This Row],[Customer Gender]]="O","Other", "Unknown")))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3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>
        <f>IF(orders[[#This Row],[Customer Gender]]="M","Male",IF( orders[[#This Row],[Customer Gender]]="F","Female",IF( orders[[#This Row],[Customer Gender]]="O","Other", "Unknown")))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3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>
        <f>IF(orders[[#This Row],[Customer Gender]]="M","Male",IF( orders[[#This Row],[Customer Gender]]="F","Female",IF( orders[[#This Row],[Customer Gender]]="O","Other", "Unknown")))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3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>
        <f>IF(orders[[#This Row],[Customer Gender]]="M","Male",IF( orders[[#This Row],[Customer Gender]]="F","Female",IF( orders[[#This Row],[Customer Gender]]="O","Other", "Unknown")))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3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>
        <f>IF(orders[[#This Row],[Customer Gender]]="M","Male",IF( orders[[#This Row],[Customer Gender]]="F","Female",IF( orders[[#This Row],[Customer Gender]]="O","Other", "Unknown")))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3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>
        <f>IF(orders[[#This Row],[Customer Gender]]="M","Male",IF( orders[[#This Row],[Customer Gender]]="F","Female",IF( orders[[#This Row],[Customer Gender]]="O","Other", "Unknown")))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3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>
        <f>IF(orders[[#This Row],[Customer Gender]]="M","Male",IF( orders[[#This Row],[Customer Gender]]="F","Female",IF( orders[[#This Row],[Customer Gender]]="O","Other", "Unknown")))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3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>
        <f>IF(orders[[#This Row],[Customer Gender]]="M","Male",IF( orders[[#This Row],[Customer Gender]]="F","Female",IF( orders[[#This Row],[Customer Gender]]="O","Other", "Unknown")))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3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>
        <f>IF(orders[[#This Row],[Customer Gender]]="M","Male",IF( orders[[#This Row],[Customer Gender]]="F","Female",IF( orders[[#This Row],[Customer Gender]]="O","Other", "Unknown")))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3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>
        <f>IF(orders[[#This Row],[Customer Gender]]="M","Male",IF( orders[[#This Row],[Customer Gender]]="F","Female",IF( orders[[#This Row],[Customer Gender]]="O","Other", "Unknown")))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3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>
        <f>IF(orders[[#This Row],[Customer Gender]]="M","Male",IF( orders[[#This Row],[Customer Gender]]="F","Female",IF( orders[[#This Row],[Customer Gender]]="O","Other", "Unknown")))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3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>
        <f>IF(orders[[#This Row],[Customer Gender]]="M","Male",IF( orders[[#This Row],[Customer Gender]]="F","Female",IF( orders[[#This Row],[Customer Gender]]="O","Other", "Unknown")))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3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>
        <f>IF(orders[[#This Row],[Customer Gender]]="M","Male",IF( orders[[#This Row],[Customer Gender]]="F","Female",IF( orders[[#This Row],[Customer Gender]]="O","Other", "Unknown")))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3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>
        <f>IF(orders[[#This Row],[Customer Gender]]="M","Male",IF( orders[[#This Row],[Customer Gender]]="F","Female",IF( orders[[#This Row],[Customer Gender]]="O","Other", "Unknown")))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3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>
        <f>IF(orders[[#This Row],[Customer Gender]]="M","Male",IF( orders[[#This Row],[Customer Gender]]="F","Female",IF( orders[[#This Row],[Customer Gender]]="O","Other", "Unknown")))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3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>
        <f>IF(orders[[#This Row],[Customer Gender]]="M","Male",IF( orders[[#This Row],[Customer Gender]]="F","Female",IF( orders[[#This Row],[Customer Gender]]="O","Other", "Unknown")))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3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>
        <f>IF(orders[[#This Row],[Customer Gender]]="M","Male",IF( orders[[#This Row],[Customer Gender]]="F","Female",IF( orders[[#This Row],[Customer Gender]]="O","Other", "Unknown")))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3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>
        <f>IF(orders[[#This Row],[Customer Gender]]="M","Male",IF( orders[[#This Row],[Customer Gender]]="F","Female",IF( orders[[#This Row],[Customer Gender]]="O","Other", "Unknown")))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3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>
        <f>IF(orders[[#This Row],[Customer Gender]]="M","Male",IF( orders[[#This Row],[Customer Gender]]="F","Female",IF( orders[[#This Row],[Customer Gender]]="O","Other", "Unknown")))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3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>
        <f>IF(orders[[#This Row],[Customer Gender]]="M","Male",IF( orders[[#This Row],[Customer Gender]]="F","Female",IF( orders[[#This Row],[Customer Gender]]="O","Other", "Unknown")))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3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>
        <f>IF(orders[[#This Row],[Customer Gender]]="M","Male",IF( orders[[#This Row],[Customer Gender]]="F","Female",IF( orders[[#This Row],[Customer Gender]]="O","Other", "Unknown")))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3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>
        <f>IF(orders[[#This Row],[Customer Gender]]="M","Male",IF( orders[[#This Row],[Customer Gender]]="F","Female",IF( orders[[#This Row],[Customer Gender]]="O","Other", "Unknown")))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3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>
        <f>IF(orders[[#This Row],[Customer Gender]]="M","Male",IF( orders[[#This Row],[Customer Gender]]="F","Female",IF( orders[[#This Row],[Customer Gender]]="O","Other", "Unknown")))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3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>
        <f>IF(orders[[#This Row],[Customer Gender]]="M","Male",IF( orders[[#This Row],[Customer Gender]]="F","Female",IF( orders[[#This Row],[Customer Gender]]="O","Other", "Unknown")))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3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>
        <f>IF(orders[[#This Row],[Customer Gender]]="M","Male",IF( orders[[#This Row],[Customer Gender]]="F","Female",IF( orders[[#This Row],[Customer Gender]]="O","Other", "Unknown")))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3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>
        <f>IF(orders[[#This Row],[Customer Gender]]="M","Male",IF( orders[[#This Row],[Customer Gender]]="F","Female",IF( orders[[#This Row],[Customer Gender]]="O","Other", "Unknown")))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3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>
        <f>IF(orders[[#This Row],[Customer Gender]]="M","Male",IF( orders[[#This Row],[Customer Gender]]="F","Female",IF( orders[[#This Row],[Customer Gender]]="O","Other", "Unknown")))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3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>
        <f>IF(orders[[#This Row],[Customer Gender]]="M","Male",IF( orders[[#This Row],[Customer Gender]]="F","Female",IF( orders[[#This Row],[Customer Gender]]="O","Other", "Unknown")))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3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>
        <f>IF(orders[[#This Row],[Customer Gender]]="M","Male",IF( orders[[#This Row],[Customer Gender]]="F","Female",IF( orders[[#This Row],[Customer Gender]]="O","Other", "Unknown")))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3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>
        <f>IF(orders[[#This Row],[Customer Gender]]="M","Male",IF( orders[[#This Row],[Customer Gender]]="F","Female",IF( orders[[#This Row],[Customer Gender]]="O","Other", "Unknown")))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3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>
        <f>IF(orders[[#This Row],[Customer Gender]]="M","Male",IF( orders[[#This Row],[Customer Gender]]="F","Female",IF( orders[[#This Row],[Customer Gender]]="O","Other", "Unknown")))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3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>
        <f>IF(orders[[#This Row],[Customer Gender]]="M","Male",IF( orders[[#This Row],[Customer Gender]]="F","Female",IF( orders[[#This Row],[Customer Gender]]="O","Other", "Unknown")))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3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>
        <f>IF(orders[[#This Row],[Customer Gender]]="M","Male",IF( orders[[#This Row],[Customer Gender]]="F","Female",IF( orders[[#This Row],[Customer Gender]]="O","Other", "Unknown")))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3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>
        <f>IF(orders[[#This Row],[Customer Gender]]="M","Male",IF( orders[[#This Row],[Customer Gender]]="F","Female",IF( orders[[#This Row],[Customer Gender]]="O","Other", "Unknown")))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3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>
        <f>IF(orders[[#This Row],[Customer Gender]]="M","Male",IF( orders[[#This Row],[Customer Gender]]="F","Female",IF( orders[[#This Row],[Customer Gender]]="O","Other", "Unknown")))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3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>
        <f>IF(orders[[#This Row],[Customer Gender]]="M","Male",IF( orders[[#This Row],[Customer Gender]]="F","Female",IF( orders[[#This Row],[Customer Gender]]="O","Other", "Unknown")))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3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>
        <f>IF(orders[[#This Row],[Customer Gender]]="M","Male",IF( orders[[#This Row],[Customer Gender]]="F","Female",IF( orders[[#This Row],[Customer Gender]]="O","Other", "Unknown")))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3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>
        <f>IF(orders[[#This Row],[Customer Gender]]="M","Male",IF( orders[[#This Row],[Customer Gender]]="F","Female",IF( orders[[#This Row],[Customer Gender]]="O","Other", "Unknown")))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3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>
        <f>IF(orders[[#This Row],[Customer Gender]]="M","Male",IF( orders[[#This Row],[Customer Gender]]="F","Female",IF( orders[[#This Row],[Customer Gender]]="O","Other", "Unknown")))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3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>
        <f>IF(orders[[#This Row],[Customer Gender]]="M","Male",IF( orders[[#This Row],[Customer Gender]]="F","Female",IF( orders[[#This Row],[Customer Gender]]="O","Other", "Unknown")))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3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>
        <f>IF(orders[[#This Row],[Customer Gender]]="M","Male",IF( orders[[#This Row],[Customer Gender]]="F","Female",IF( orders[[#This Row],[Customer Gender]]="O","Other", "Unknown")))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3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>
        <f>IF(orders[[#This Row],[Customer Gender]]="M","Male",IF( orders[[#This Row],[Customer Gender]]="F","Female",IF( orders[[#This Row],[Customer Gender]]="O","Other", "Unknown")))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3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>
        <f>IF(orders[[#This Row],[Customer Gender]]="M","Male",IF( orders[[#This Row],[Customer Gender]]="F","Female",IF( orders[[#This Row],[Customer Gender]]="O","Other", "Unknown")))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3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>
        <f>IF(orders[[#This Row],[Customer Gender]]="M","Male",IF( orders[[#This Row],[Customer Gender]]="F","Female",IF( orders[[#This Row],[Customer Gender]]="O","Other", "Unknown")))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3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>
        <f>IF(orders[[#This Row],[Customer Gender]]="M","Male",IF( orders[[#This Row],[Customer Gender]]="F","Female",IF( orders[[#This Row],[Customer Gender]]="O","Other", "Unknown")))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3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>
        <f>IF(orders[[#This Row],[Customer Gender]]="M","Male",IF( orders[[#This Row],[Customer Gender]]="F","Female",IF( orders[[#This Row],[Customer Gender]]="O","Other", "Unknown")))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3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>
        <f>IF(orders[[#This Row],[Customer Gender]]="M","Male",IF( orders[[#This Row],[Customer Gender]]="F","Female",IF( orders[[#This Row],[Customer Gender]]="O","Other", "Unknown")))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3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>
        <f>IF(orders[[#This Row],[Customer Gender]]="M","Male",IF( orders[[#This Row],[Customer Gender]]="F","Female",IF( orders[[#This Row],[Customer Gender]]="O","Other", "Unknown")))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3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>
        <f>IF(orders[[#This Row],[Customer Gender]]="M","Male",IF( orders[[#This Row],[Customer Gender]]="F","Female",IF( orders[[#This Row],[Customer Gender]]="O","Other", "Unknown")))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3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>
        <f>IF(orders[[#This Row],[Customer Gender]]="M","Male",IF( orders[[#This Row],[Customer Gender]]="F","Female",IF( orders[[#This Row],[Customer Gender]]="O","Other", "Unknown")))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3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>
        <f>IF(orders[[#This Row],[Customer Gender]]="M","Male",IF( orders[[#This Row],[Customer Gender]]="F","Female",IF( orders[[#This Row],[Customer Gender]]="O","Other", "Unknown")))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3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>
        <f>IF(orders[[#This Row],[Customer Gender]]="M","Male",IF( orders[[#This Row],[Customer Gender]]="F","Female",IF( orders[[#This Row],[Customer Gender]]="O","Other", "Unknown")))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3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>
        <f>IF(orders[[#This Row],[Customer Gender]]="M","Male",IF( orders[[#This Row],[Customer Gender]]="F","Female",IF( orders[[#This Row],[Customer Gender]]="O","Other", "Unknown")))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3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>
        <f>IF(orders[[#This Row],[Customer Gender]]="M","Male",IF( orders[[#This Row],[Customer Gender]]="F","Female",IF( orders[[#This Row],[Customer Gender]]="O","Other", "Unknown")))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3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>
        <f>IF(orders[[#This Row],[Customer Gender]]="M","Male",IF( orders[[#This Row],[Customer Gender]]="F","Female",IF( orders[[#This Row],[Customer Gender]]="O","Other", "Unknown")))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3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>
        <f>IF(orders[[#This Row],[Customer Gender]]="M","Male",IF( orders[[#This Row],[Customer Gender]]="F","Female",IF( orders[[#This Row],[Customer Gender]]="O","Other", "Unknown")))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3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>
        <f>IF(orders[[#This Row],[Customer Gender]]="M","Male",IF( orders[[#This Row],[Customer Gender]]="F","Female",IF( orders[[#This Row],[Customer Gender]]="O","Other", "Unknown")))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3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>
        <f>IF(orders[[#This Row],[Customer Gender]]="M","Male",IF( orders[[#This Row],[Customer Gender]]="F","Female",IF( orders[[#This Row],[Customer Gender]]="O","Other", "Unknown")))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3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>
        <f>IF(orders[[#This Row],[Customer Gender]]="M","Male",IF( orders[[#This Row],[Customer Gender]]="F","Female",IF( orders[[#This Row],[Customer Gender]]="O","Other", "Unknown")))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3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>
        <f>IF(orders[[#This Row],[Customer Gender]]="M","Male",IF( orders[[#This Row],[Customer Gender]]="F","Female",IF( orders[[#This Row],[Customer Gender]]="O","Other", "Unknown")))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3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>
        <f>IF(orders[[#This Row],[Customer Gender]]="M","Male",IF( orders[[#This Row],[Customer Gender]]="F","Female",IF( orders[[#This Row],[Customer Gender]]="O","Other", "Unknown")))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3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>
        <f>IF(orders[[#This Row],[Customer Gender]]="M","Male",IF( orders[[#This Row],[Customer Gender]]="F","Female",IF( orders[[#This Row],[Customer Gender]]="O","Other", "Unknown")))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3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>
        <f>IF(orders[[#This Row],[Customer Gender]]="M","Male",IF( orders[[#This Row],[Customer Gender]]="F","Female",IF( orders[[#This Row],[Customer Gender]]="O","Other", "Unknown")))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3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>
        <f>IF(orders[[#This Row],[Customer Gender]]="M","Male",IF( orders[[#This Row],[Customer Gender]]="F","Female",IF( orders[[#This Row],[Customer Gender]]="O","Other", "Unknown")))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3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>
        <f>IF(orders[[#This Row],[Customer Gender]]="M","Male",IF( orders[[#This Row],[Customer Gender]]="F","Female",IF( orders[[#This Row],[Customer Gender]]="O","Other", "Unknown")))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3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>
        <f>IF(orders[[#This Row],[Customer Gender]]="M","Male",IF( orders[[#This Row],[Customer Gender]]="F","Female",IF( orders[[#This Row],[Customer Gender]]="O","Other", "Unknown")))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3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>
        <f>IF(orders[[#This Row],[Customer Gender]]="M","Male",IF( orders[[#This Row],[Customer Gender]]="F","Female",IF( orders[[#This Row],[Customer Gender]]="O","Other", "Unknown")))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3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>
        <f>IF(orders[[#This Row],[Customer Gender]]="M","Male",IF( orders[[#This Row],[Customer Gender]]="F","Female",IF( orders[[#This Row],[Customer Gender]]="O","Other", "Unknown")))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3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>
        <f>IF(orders[[#This Row],[Customer Gender]]="M","Male",IF( orders[[#This Row],[Customer Gender]]="F","Female",IF( orders[[#This Row],[Customer Gender]]="O","Other", "Unknown")))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3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>
        <f>IF(orders[[#This Row],[Customer Gender]]="M","Male",IF( orders[[#This Row],[Customer Gender]]="F","Female",IF( orders[[#This Row],[Customer Gender]]="O","Other", "Unknown")))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3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>
        <f>IF(orders[[#This Row],[Customer Gender]]="M","Male",IF( orders[[#This Row],[Customer Gender]]="F","Female",IF( orders[[#This Row],[Customer Gender]]="O","Other", "Unknown")))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3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>
        <f>IF(orders[[#This Row],[Customer Gender]]="M","Male",IF( orders[[#This Row],[Customer Gender]]="F","Female",IF( orders[[#This Row],[Customer Gender]]="O","Other", "Unknown")))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3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>
        <f>IF(orders[[#This Row],[Customer Gender]]="M","Male",IF( orders[[#This Row],[Customer Gender]]="F","Female",IF( orders[[#This Row],[Customer Gender]]="O","Other", "Unknown")))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3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>
        <f>IF(orders[[#This Row],[Customer Gender]]="M","Male",IF( orders[[#This Row],[Customer Gender]]="F","Female",IF( orders[[#This Row],[Customer Gender]]="O","Other", "Unknown")))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3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>
        <f>IF(orders[[#This Row],[Customer Gender]]="M","Male",IF( orders[[#This Row],[Customer Gender]]="F","Female",IF( orders[[#This Row],[Customer Gender]]="O","Other", "Unknown")))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3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>
        <f>IF(orders[[#This Row],[Customer Gender]]="M","Male",IF( orders[[#This Row],[Customer Gender]]="F","Female",IF( orders[[#This Row],[Customer Gender]]="O","Other", "Unknown")))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3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>
        <f>IF(orders[[#This Row],[Customer Gender]]="M","Male",IF( orders[[#This Row],[Customer Gender]]="F","Female",IF( orders[[#This Row],[Customer Gender]]="O","Other", "Unknown")))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3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>
        <f>IF(orders[[#This Row],[Customer Gender]]="M","Male",IF( orders[[#This Row],[Customer Gender]]="F","Female",IF( orders[[#This Row],[Customer Gender]]="O","Other", "Unknown")))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3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>
        <f>IF(orders[[#This Row],[Customer Gender]]="M","Male",IF( orders[[#This Row],[Customer Gender]]="F","Female",IF( orders[[#This Row],[Customer Gender]]="O","Other", "Unknown")))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3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>
        <f>IF(orders[[#This Row],[Customer Gender]]="M","Male",IF( orders[[#This Row],[Customer Gender]]="F","Female",IF( orders[[#This Row],[Customer Gender]]="O","Other", "Unknown")))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3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>
        <f>IF(orders[[#This Row],[Customer Gender]]="M","Male",IF( orders[[#This Row],[Customer Gender]]="F","Female",IF( orders[[#This Row],[Customer Gender]]="O","Other", "Unknown")))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3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>
        <f>IF(orders[[#This Row],[Customer Gender]]="M","Male",IF( orders[[#This Row],[Customer Gender]]="F","Female",IF( orders[[#This Row],[Customer Gender]]="O","Other", "Unknown")))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3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>
        <f>IF(orders[[#This Row],[Customer Gender]]="M","Male",IF( orders[[#This Row],[Customer Gender]]="F","Female",IF( orders[[#This Row],[Customer Gender]]="O","Other", "Unknown")))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3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>
        <f>IF(orders[[#This Row],[Customer Gender]]="M","Male",IF( orders[[#This Row],[Customer Gender]]="F","Female",IF( orders[[#This Row],[Customer Gender]]="O","Other", "Unknown")))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3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>
        <f>IF(orders[[#This Row],[Customer Gender]]="M","Male",IF( orders[[#This Row],[Customer Gender]]="F","Female",IF( orders[[#This Row],[Customer Gender]]="O","Other", "Unknown")))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3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>
        <f>IF(orders[[#This Row],[Customer Gender]]="M","Male",IF( orders[[#This Row],[Customer Gender]]="F","Female",IF( orders[[#This Row],[Customer Gender]]="O","Other", "Unknown")))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3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>
        <f>IF(orders[[#This Row],[Customer Gender]]="M","Male",IF( orders[[#This Row],[Customer Gender]]="F","Female",IF( orders[[#This Row],[Customer Gender]]="O","Other", "Unknown")))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3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>
        <f>IF(orders[[#This Row],[Customer Gender]]="M","Male",IF( orders[[#This Row],[Customer Gender]]="F","Female",IF( orders[[#This Row],[Customer Gender]]="O","Other", "Unknown")))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3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>
        <f>IF(orders[[#This Row],[Customer Gender]]="M","Male",IF( orders[[#This Row],[Customer Gender]]="F","Female",IF( orders[[#This Row],[Customer Gender]]="O","Other", "Unknown")))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3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>
        <f>IF(orders[[#This Row],[Customer Gender]]="M","Male",IF( orders[[#This Row],[Customer Gender]]="F","Female",IF( orders[[#This Row],[Customer Gender]]="O","Other", "Unknown")))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3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>
        <f>IF(orders[[#This Row],[Customer Gender]]="M","Male",IF( orders[[#This Row],[Customer Gender]]="F","Female",IF( orders[[#This Row],[Customer Gender]]="O","Other", "Unknown")))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3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>
        <f>IF(orders[[#This Row],[Customer Gender]]="M","Male",IF( orders[[#This Row],[Customer Gender]]="F","Female",IF( orders[[#This Row],[Customer Gender]]="O","Other", "Unknown")))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3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>
        <f>IF(orders[[#This Row],[Customer Gender]]="M","Male",IF( orders[[#This Row],[Customer Gender]]="F","Female",IF( orders[[#This Row],[Customer Gender]]="O","Other", "Unknown")))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3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>
        <f>IF(orders[[#This Row],[Customer Gender]]="M","Male",IF( orders[[#This Row],[Customer Gender]]="F","Female",IF( orders[[#This Row],[Customer Gender]]="O","Other", "Unknown")))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3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>
        <f>IF(orders[[#This Row],[Customer Gender]]="M","Male",IF( orders[[#This Row],[Customer Gender]]="F","Female",IF( orders[[#This Row],[Customer Gender]]="O","Other", "Unknown")))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3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>
        <f>IF(orders[[#This Row],[Customer Gender]]="M","Male",IF( orders[[#This Row],[Customer Gender]]="F","Female",IF( orders[[#This Row],[Customer Gender]]="O","Other", "Unknown")))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3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>
        <f>IF(orders[[#This Row],[Customer Gender]]="M","Male",IF( orders[[#This Row],[Customer Gender]]="F","Female",IF( orders[[#This Row],[Customer Gender]]="O","Other", "Unknown")))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3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>
        <f>IF(orders[[#This Row],[Customer Gender]]="M","Male",IF( orders[[#This Row],[Customer Gender]]="F","Female",IF( orders[[#This Row],[Customer Gender]]="O","Other", "Unknown")))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3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>
        <f>IF(orders[[#This Row],[Customer Gender]]="M","Male",IF( orders[[#This Row],[Customer Gender]]="F","Female",IF( orders[[#This Row],[Customer Gender]]="O","Other", "Unknown")))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3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>
        <f>IF(orders[[#This Row],[Customer Gender]]="M","Male",IF( orders[[#This Row],[Customer Gender]]="F","Female",IF( orders[[#This Row],[Customer Gender]]="O","Other", "Unknown")))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3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>
        <f>IF(orders[[#This Row],[Customer Gender]]="M","Male",IF( orders[[#This Row],[Customer Gender]]="F","Female",IF( orders[[#This Row],[Customer Gender]]="O","Other", "Unknown")))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3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>
        <f>IF(orders[[#This Row],[Customer Gender]]="M","Male",IF( orders[[#This Row],[Customer Gender]]="F","Female",IF( orders[[#This Row],[Customer Gender]]="O","Other", "Unknown")))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3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>
        <f>IF(orders[[#This Row],[Customer Gender]]="M","Male",IF( orders[[#This Row],[Customer Gender]]="F","Female",IF( orders[[#This Row],[Customer Gender]]="O","Other", "Unknown")))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3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>
        <f>IF(orders[[#This Row],[Customer Gender]]="M","Male",IF( orders[[#This Row],[Customer Gender]]="F","Female",IF( orders[[#This Row],[Customer Gender]]="O","Other", "Unknown")))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3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>
        <f>IF(orders[[#This Row],[Customer Gender]]="M","Male",IF( orders[[#This Row],[Customer Gender]]="F","Female",IF( orders[[#This Row],[Customer Gender]]="O","Other", "Unknown")))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3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>
        <f>IF(orders[[#This Row],[Customer Gender]]="M","Male",IF( orders[[#This Row],[Customer Gender]]="F","Female",IF( orders[[#This Row],[Customer Gender]]="O","Other", "Unknown")))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3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>
        <f>IF(orders[[#This Row],[Customer Gender]]="M","Male",IF( orders[[#This Row],[Customer Gender]]="F","Female",IF( orders[[#This Row],[Customer Gender]]="O","Other", "Unknown")))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3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>
        <f>IF(orders[[#This Row],[Customer Gender]]="M","Male",IF( orders[[#This Row],[Customer Gender]]="F","Female",IF( orders[[#This Row],[Customer Gender]]="O","Other", "Unknown")))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3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>
        <f>IF(orders[[#This Row],[Customer Gender]]="M","Male",IF( orders[[#This Row],[Customer Gender]]="F","Female",IF( orders[[#This Row],[Customer Gender]]="O","Other", "Unknown")))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3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>
        <f>IF(orders[[#This Row],[Customer Gender]]="M","Male",IF( orders[[#This Row],[Customer Gender]]="F","Female",IF( orders[[#This Row],[Customer Gender]]="O","Other", "Unknown")))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3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>
        <f>IF(orders[[#This Row],[Customer Gender]]="M","Male",IF( orders[[#This Row],[Customer Gender]]="F","Female",IF( orders[[#This Row],[Customer Gender]]="O","Other", "Unknown")))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3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>
        <f>IF(orders[[#This Row],[Customer Gender]]="M","Male",IF( orders[[#This Row],[Customer Gender]]="F","Female",IF( orders[[#This Row],[Customer Gender]]="O","Other", "Unknown")))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3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>
        <f>IF(orders[[#This Row],[Customer Gender]]="M","Male",IF( orders[[#This Row],[Customer Gender]]="F","Female",IF( orders[[#This Row],[Customer Gender]]="O","Other", "Unknown")))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3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>
        <f>IF(orders[[#This Row],[Customer Gender]]="M","Male",IF( orders[[#This Row],[Customer Gender]]="F","Female",IF( orders[[#This Row],[Customer Gender]]="O","Other", "Unknown")))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3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>
        <f>IF(orders[[#This Row],[Customer Gender]]="M","Male",IF( orders[[#This Row],[Customer Gender]]="F","Female",IF( orders[[#This Row],[Customer Gender]]="O","Other", "Unknown")))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3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>
        <f>IF(orders[[#This Row],[Customer Gender]]="M","Male",IF( orders[[#This Row],[Customer Gender]]="F","Female",IF( orders[[#This Row],[Customer Gender]]="O","Other", "Unknown")))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3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>
        <f>IF(orders[[#This Row],[Customer Gender]]="M","Male",IF( orders[[#This Row],[Customer Gender]]="F","Female",IF( orders[[#This Row],[Customer Gender]]="O","Other", "Unknown")))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3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>
        <f>IF(orders[[#This Row],[Customer Gender]]="M","Male",IF( orders[[#This Row],[Customer Gender]]="F","Female",IF( orders[[#This Row],[Customer Gender]]="O","Other", "Unknown")))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3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>
        <f>IF(orders[[#This Row],[Customer Gender]]="M","Male",IF( orders[[#This Row],[Customer Gender]]="F","Female",IF( orders[[#This Row],[Customer Gender]]="O","Other", "Unknown")))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3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>
        <f>IF(orders[[#This Row],[Customer Gender]]="M","Male",IF( orders[[#This Row],[Customer Gender]]="F","Female",IF( orders[[#This Row],[Customer Gender]]="O","Other", "Unknown")))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3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>
        <f>IF(orders[[#This Row],[Customer Gender]]="M","Male",IF( orders[[#This Row],[Customer Gender]]="F","Female",IF( orders[[#This Row],[Customer Gender]]="O","Other", "Unknown")))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3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>
        <f>IF(orders[[#This Row],[Customer Gender]]="M","Male",IF( orders[[#This Row],[Customer Gender]]="F","Female",IF( orders[[#This Row],[Customer Gender]]="O","Other", "Unknown")))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3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>
        <f>IF(orders[[#This Row],[Customer Gender]]="M","Male",IF( orders[[#This Row],[Customer Gender]]="F","Female",IF( orders[[#This Row],[Customer Gender]]="O","Other", "Unknown")))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3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>
        <f>IF(orders[[#This Row],[Customer Gender]]="M","Male",IF( orders[[#This Row],[Customer Gender]]="F","Female",IF( orders[[#This Row],[Customer Gender]]="O","Other", "Unknown")))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3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>
        <f>IF(orders[[#This Row],[Customer Gender]]="M","Male",IF( orders[[#This Row],[Customer Gender]]="F","Female",IF( orders[[#This Row],[Customer Gender]]="O","Other", "Unknown")))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3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>
        <f>IF(orders[[#This Row],[Customer Gender]]="M","Male",IF( orders[[#This Row],[Customer Gender]]="F","Female",IF( orders[[#This Row],[Customer Gender]]="O","Other", "Unknown")))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3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>
        <f>IF(orders[[#This Row],[Customer Gender]]="M","Male",IF( orders[[#This Row],[Customer Gender]]="F","Female",IF( orders[[#This Row],[Customer Gender]]="O","Other", "Unknown")))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3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>
        <f>IF(orders[[#This Row],[Customer Gender]]="M","Male",IF( orders[[#This Row],[Customer Gender]]="F","Female",IF( orders[[#This Row],[Customer Gender]]="O","Other", "Unknown")))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3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>
        <f>IF(orders[[#This Row],[Customer Gender]]="M","Male",IF( orders[[#This Row],[Customer Gender]]="F","Female",IF( orders[[#This Row],[Customer Gender]]="O","Other", "Unknown")))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3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>
        <f>IF(orders[[#This Row],[Customer Gender]]="M","Male",IF( orders[[#This Row],[Customer Gender]]="F","Female",IF( orders[[#This Row],[Customer Gender]]="O","Other", "Unknown")))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3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>
        <f>IF(orders[[#This Row],[Customer Gender]]="M","Male",IF( orders[[#This Row],[Customer Gender]]="F","Female",IF( orders[[#This Row],[Customer Gender]]="O","Other", "Unknown")))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3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>
        <f>IF(orders[[#This Row],[Customer Gender]]="M","Male",IF( orders[[#This Row],[Customer Gender]]="F","Female",IF( orders[[#This Row],[Customer Gender]]="O","Other", "Unknown")))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3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>
        <f>IF(orders[[#This Row],[Customer Gender]]="M","Male",IF( orders[[#This Row],[Customer Gender]]="F","Female",IF( orders[[#This Row],[Customer Gender]]="O","Other", "Unknown")))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3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>
        <f>IF(orders[[#This Row],[Customer Gender]]="M","Male",IF( orders[[#This Row],[Customer Gender]]="F","Female",IF( orders[[#This Row],[Customer Gender]]="O","Other", "Unknown")))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3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>
        <f>IF(orders[[#This Row],[Customer Gender]]="M","Male",IF( orders[[#This Row],[Customer Gender]]="F","Female",IF( orders[[#This Row],[Customer Gender]]="O","Other", "Unknown")))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3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>
        <f>IF(orders[[#This Row],[Customer Gender]]="M","Male",IF( orders[[#This Row],[Customer Gender]]="F","Female",IF( orders[[#This Row],[Customer Gender]]="O","Other", "Unknown")))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3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>
        <f>IF(orders[[#This Row],[Customer Gender]]="M","Male",IF( orders[[#This Row],[Customer Gender]]="F","Female",IF( orders[[#This Row],[Customer Gender]]="O","Other", "Unknown")))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3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>
        <f>IF(orders[[#This Row],[Customer Gender]]="M","Male",IF( orders[[#This Row],[Customer Gender]]="F","Female",IF( orders[[#This Row],[Customer Gender]]="O","Other", "Unknown")))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3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>
        <f>IF(orders[[#This Row],[Customer Gender]]="M","Male",IF( orders[[#This Row],[Customer Gender]]="F","Female",IF( orders[[#This Row],[Customer Gender]]="O","Other", "Unknown")))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3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>
        <f>IF(orders[[#This Row],[Customer Gender]]="M","Male",IF( orders[[#This Row],[Customer Gender]]="F","Female",IF( orders[[#This Row],[Customer Gender]]="O","Other", "Unknown")))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3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>
        <f>IF(orders[[#This Row],[Customer Gender]]="M","Male",IF( orders[[#This Row],[Customer Gender]]="F","Female",IF( orders[[#This Row],[Customer Gender]]="O","Other", "Unknown")))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3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>
        <f>IF(orders[[#This Row],[Customer Gender]]="M","Male",IF( orders[[#This Row],[Customer Gender]]="F","Female",IF( orders[[#This Row],[Customer Gender]]="O","Other", "Unknown")))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3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>
        <f>IF(orders[[#This Row],[Customer Gender]]="M","Male",IF( orders[[#This Row],[Customer Gender]]="F","Female",IF( orders[[#This Row],[Customer Gender]]="O","Other", "Unknown")))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3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>
        <f>IF(orders[[#This Row],[Customer Gender]]="M","Male",IF( orders[[#This Row],[Customer Gender]]="F","Female",IF( orders[[#This Row],[Customer Gender]]="O","Other", "Unknown")))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3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>
        <f>IF(orders[[#This Row],[Customer Gender]]="M","Male",IF( orders[[#This Row],[Customer Gender]]="F","Female",IF( orders[[#This Row],[Customer Gender]]="O","Other", "Unknown")))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3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>
        <f>IF(orders[[#This Row],[Customer Gender]]="M","Male",IF( orders[[#This Row],[Customer Gender]]="F","Female",IF( orders[[#This Row],[Customer Gender]]="O","Other", "Unknown")))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3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>
        <f>IF(orders[[#This Row],[Customer Gender]]="M","Male",IF( orders[[#This Row],[Customer Gender]]="F","Female",IF( orders[[#This Row],[Customer Gender]]="O","Other", "Unknown")))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3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>
        <f>IF(orders[[#This Row],[Customer Gender]]="M","Male",IF( orders[[#This Row],[Customer Gender]]="F","Female",IF( orders[[#This Row],[Customer Gender]]="O","Other", "Unknown")))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3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>
        <f>IF(orders[[#This Row],[Customer Gender]]="M","Male",IF( orders[[#This Row],[Customer Gender]]="F","Female",IF( orders[[#This Row],[Customer Gender]]="O","Other", "Unknown")))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3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>
        <f>IF(orders[[#This Row],[Customer Gender]]="M","Male",IF( orders[[#This Row],[Customer Gender]]="F","Female",IF( orders[[#This Row],[Customer Gender]]="O","Other", "Unknown")))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3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>
        <f>IF(orders[[#This Row],[Customer Gender]]="M","Male",IF( orders[[#This Row],[Customer Gender]]="F","Female",IF( orders[[#This Row],[Customer Gender]]="O","Other", "Unknown")))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3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>
        <f>IF(orders[[#This Row],[Customer Gender]]="M","Male",IF( orders[[#This Row],[Customer Gender]]="F","Female",IF( orders[[#This Row],[Customer Gender]]="O","Other", "Unknown")))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3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>
        <f>IF(orders[[#This Row],[Customer Gender]]="M","Male",IF( orders[[#This Row],[Customer Gender]]="F","Female",IF( orders[[#This Row],[Customer Gender]]="O","Other", "Unknown")))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3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>
        <f>IF(orders[[#This Row],[Customer Gender]]="M","Male",IF( orders[[#This Row],[Customer Gender]]="F","Female",IF( orders[[#This Row],[Customer Gender]]="O","Other", "Unknown")))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3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>
        <f>IF(orders[[#This Row],[Customer Gender]]="M","Male",IF( orders[[#This Row],[Customer Gender]]="F","Female",IF( orders[[#This Row],[Customer Gender]]="O","Other", "Unknown")))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3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>
        <f>IF(orders[[#This Row],[Customer Gender]]="M","Male",IF( orders[[#This Row],[Customer Gender]]="F","Female",IF( orders[[#This Row],[Customer Gender]]="O","Other", "Unknown")))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3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>
        <f>IF(orders[[#This Row],[Customer Gender]]="M","Male",IF( orders[[#This Row],[Customer Gender]]="F","Female",IF( orders[[#This Row],[Customer Gender]]="O","Other", "Unknown")))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3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>
        <f>IF(orders[[#This Row],[Customer Gender]]="M","Male",IF( orders[[#This Row],[Customer Gender]]="F","Female",IF( orders[[#This Row],[Customer Gender]]="O","Other", "Unknown")))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3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>
        <f>IF(orders[[#This Row],[Customer Gender]]="M","Male",IF( orders[[#This Row],[Customer Gender]]="F","Female",IF( orders[[#This Row],[Customer Gender]]="O","Other", "Unknown")))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3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>
        <f>IF(orders[[#This Row],[Customer Gender]]="M","Male",IF( orders[[#This Row],[Customer Gender]]="F","Female",IF( orders[[#This Row],[Customer Gender]]="O","Other", "Unknown")))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3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>
        <f>IF(orders[[#This Row],[Customer Gender]]="M","Male",IF( orders[[#This Row],[Customer Gender]]="F","Female",IF( orders[[#This Row],[Customer Gender]]="O","Other", "Unknown")))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3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>
        <f>IF(orders[[#This Row],[Customer Gender]]="M","Male",IF( orders[[#This Row],[Customer Gender]]="F","Female",IF( orders[[#This Row],[Customer Gender]]="O","Other", "Unknown")))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3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>
        <f>IF(orders[[#This Row],[Customer Gender]]="M","Male",IF( orders[[#This Row],[Customer Gender]]="F","Female",IF( orders[[#This Row],[Customer Gender]]="O","Other", "Unknown")))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3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>
        <f>IF(orders[[#This Row],[Customer Gender]]="M","Male",IF( orders[[#This Row],[Customer Gender]]="F","Female",IF( orders[[#This Row],[Customer Gender]]="O","Other", "Unknown")))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3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>
        <f>IF(orders[[#This Row],[Customer Gender]]="M","Male",IF( orders[[#This Row],[Customer Gender]]="F","Female",IF( orders[[#This Row],[Customer Gender]]="O","Other", "Unknown")))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3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>
        <f>IF(orders[[#This Row],[Customer Gender]]="M","Male",IF( orders[[#This Row],[Customer Gender]]="F","Female",IF( orders[[#This Row],[Customer Gender]]="O","Other", "Unknown")))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3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>
        <f>IF(orders[[#This Row],[Customer Gender]]="M","Male",IF( orders[[#This Row],[Customer Gender]]="F","Female",IF( orders[[#This Row],[Customer Gender]]="O","Other", "Unknown")))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3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>
        <f>IF(orders[[#This Row],[Customer Gender]]="M","Male",IF( orders[[#This Row],[Customer Gender]]="F","Female",IF( orders[[#This Row],[Customer Gender]]="O","Other", "Unknown")))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3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>
        <f>IF(orders[[#This Row],[Customer Gender]]="M","Male",IF( orders[[#This Row],[Customer Gender]]="F","Female",IF( orders[[#This Row],[Customer Gender]]="O","Other", "Unknown")))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3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>
        <f>IF(orders[[#This Row],[Customer Gender]]="M","Male",IF( orders[[#This Row],[Customer Gender]]="F","Female",IF( orders[[#This Row],[Customer Gender]]="O","Other", "Unknown")))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3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>
        <f>IF(orders[[#This Row],[Customer Gender]]="M","Male",IF( orders[[#This Row],[Customer Gender]]="F","Female",IF( orders[[#This Row],[Customer Gender]]="O","Other", "Unknown")))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3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>
        <f>IF(orders[[#This Row],[Customer Gender]]="M","Male",IF( orders[[#This Row],[Customer Gender]]="F","Female",IF( orders[[#This Row],[Customer Gender]]="O","Other", "Unknown")))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3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>
        <f>IF(orders[[#This Row],[Customer Gender]]="M","Male",IF( orders[[#This Row],[Customer Gender]]="F","Female",IF( orders[[#This Row],[Customer Gender]]="O","Other", "Unknown")))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3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>
        <f>IF(orders[[#This Row],[Customer Gender]]="M","Male",IF( orders[[#This Row],[Customer Gender]]="F","Female",IF( orders[[#This Row],[Customer Gender]]="O","Other", "Unknown")))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3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>
        <f>IF(orders[[#This Row],[Customer Gender]]="M","Male",IF( orders[[#This Row],[Customer Gender]]="F","Female",IF( orders[[#This Row],[Customer Gender]]="O","Other", "Unknown")))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3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>
        <f>IF(orders[[#This Row],[Customer Gender]]="M","Male",IF( orders[[#This Row],[Customer Gender]]="F","Female",IF( orders[[#This Row],[Customer Gender]]="O","Other", "Unknown")))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3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>
        <f>IF(orders[[#This Row],[Customer Gender]]="M","Male",IF( orders[[#This Row],[Customer Gender]]="F","Female",IF( orders[[#This Row],[Customer Gender]]="O","Other", "Unknown")))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3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>
        <f>IF(orders[[#This Row],[Customer Gender]]="M","Male",IF( orders[[#This Row],[Customer Gender]]="F","Female",IF( orders[[#This Row],[Customer Gender]]="O","Other", "Unknown")))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3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>
        <f>IF(orders[[#This Row],[Customer Gender]]="M","Male",IF( orders[[#This Row],[Customer Gender]]="F","Female",IF( orders[[#This Row],[Customer Gender]]="O","Other", "Unknown")))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3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>
        <f>IF(orders[[#This Row],[Customer Gender]]="M","Male",IF( orders[[#This Row],[Customer Gender]]="F","Female",IF( orders[[#This Row],[Customer Gender]]="O","Other", "Unknown")))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3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>
        <f>IF(orders[[#This Row],[Customer Gender]]="M","Male",IF( orders[[#This Row],[Customer Gender]]="F","Female",IF( orders[[#This Row],[Customer Gender]]="O","Other", "Unknown")))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3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>
        <f>IF(orders[[#This Row],[Customer Gender]]="M","Male",IF( orders[[#This Row],[Customer Gender]]="F","Female",IF( orders[[#This Row],[Customer Gender]]="O","Other", "Unknown")))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3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>
        <f>IF(orders[[#This Row],[Customer Gender]]="M","Male",IF( orders[[#This Row],[Customer Gender]]="F","Female",IF( orders[[#This Row],[Customer Gender]]="O","Other", "Unknown")))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3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>
        <f>IF(orders[[#This Row],[Customer Gender]]="M","Male",IF( orders[[#This Row],[Customer Gender]]="F","Female",IF( orders[[#This Row],[Customer Gender]]="O","Other", "Unknown")))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3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>
        <f>IF(orders[[#This Row],[Customer Gender]]="M","Male",IF( orders[[#This Row],[Customer Gender]]="F","Female",IF( orders[[#This Row],[Customer Gender]]="O","Other", "Unknown")))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3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>
        <f>IF(orders[[#This Row],[Customer Gender]]="M","Male",IF( orders[[#This Row],[Customer Gender]]="F","Female",IF( orders[[#This Row],[Customer Gender]]="O","Other", "Unknown")))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3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>
        <f>IF(orders[[#This Row],[Customer Gender]]="M","Male",IF( orders[[#This Row],[Customer Gender]]="F","Female",IF( orders[[#This Row],[Customer Gender]]="O","Other", "Unknown")))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3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>
        <f>IF(orders[[#This Row],[Customer Gender]]="M","Male",IF( orders[[#This Row],[Customer Gender]]="F","Female",IF( orders[[#This Row],[Customer Gender]]="O","Other", "Unknown")))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3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>
        <f>IF(orders[[#This Row],[Customer Gender]]="M","Male",IF( orders[[#This Row],[Customer Gender]]="F","Female",IF( orders[[#This Row],[Customer Gender]]="O","Other", "Unknown")))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3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>
        <f>IF(orders[[#This Row],[Customer Gender]]="M","Male",IF( orders[[#This Row],[Customer Gender]]="F","Female",IF( orders[[#This Row],[Customer Gender]]="O","Other", "Unknown")))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3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>
        <f>IF(orders[[#This Row],[Customer Gender]]="M","Male",IF( orders[[#This Row],[Customer Gender]]="F","Female",IF( orders[[#This Row],[Customer Gender]]="O","Other", "Unknown")))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3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>
        <f>IF(orders[[#This Row],[Customer Gender]]="M","Male",IF( orders[[#This Row],[Customer Gender]]="F","Female",IF( orders[[#This Row],[Customer Gender]]="O","Other", "Unknown")))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3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>
        <f>IF(orders[[#This Row],[Customer Gender]]="M","Male",IF( orders[[#This Row],[Customer Gender]]="F","Female",IF( orders[[#This Row],[Customer Gender]]="O","Other", "Unknown")))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3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>
        <f>IF(orders[[#This Row],[Customer Gender]]="M","Male",IF( orders[[#This Row],[Customer Gender]]="F","Female",IF( orders[[#This Row],[Customer Gender]]="O","Other", "Unknown")))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3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>
        <f>IF(orders[[#This Row],[Customer Gender]]="M","Male",IF( orders[[#This Row],[Customer Gender]]="F","Female",IF( orders[[#This Row],[Customer Gender]]="O","Other", "Unknown")))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3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>
        <f>IF(orders[[#This Row],[Customer Gender]]="M","Male",IF( orders[[#This Row],[Customer Gender]]="F","Female",IF( orders[[#This Row],[Customer Gender]]="O","Other", "Unknown")))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3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>
        <f>IF(orders[[#This Row],[Customer Gender]]="M","Male",IF( orders[[#This Row],[Customer Gender]]="F","Female",IF( orders[[#This Row],[Customer Gender]]="O","Other", "Unknown")))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3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>
        <f>IF(orders[[#This Row],[Customer Gender]]="M","Male",IF( orders[[#This Row],[Customer Gender]]="F","Female",IF( orders[[#This Row],[Customer Gender]]="O","Other", "Unknown")))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3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>
        <f>IF(orders[[#This Row],[Customer Gender]]="M","Male",IF( orders[[#This Row],[Customer Gender]]="F","Female",IF( orders[[#This Row],[Customer Gender]]="O","Other", "Unknown")))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3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>
        <f>IF(orders[[#This Row],[Customer Gender]]="M","Male",IF( orders[[#This Row],[Customer Gender]]="F","Female",IF( orders[[#This Row],[Customer Gender]]="O","Other", "Unknown")))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3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>
        <f>IF(orders[[#This Row],[Customer Gender]]="M","Male",IF( orders[[#This Row],[Customer Gender]]="F","Female",IF( orders[[#This Row],[Customer Gender]]="O","Other", "Unknown")))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3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>
        <f>IF(orders[[#This Row],[Customer Gender]]="M","Male",IF( orders[[#This Row],[Customer Gender]]="F","Female",IF( orders[[#This Row],[Customer Gender]]="O","Other", "Unknown")))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3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>
        <f>IF(orders[[#This Row],[Customer Gender]]="M","Male",IF( orders[[#This Row],[Customer Gender]]="F","Female",IF( orders[[#This Row],[Customer Gender]]="O","Other", "Unknown")))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3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>
        <f>IF(orders[[#This Row],[Customer Gender]]="M","Male",IF( orders[[#This Row],[Customer Gender]]="F","Female",IF( orders[[#This Row],[Customer Gender]]="O","Other", "Unknown")))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3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>
        <f>IF(orders[[#This Row],[Customer Gender]]="M","Male",IF( orders[[#This Row],[Customer Gender]]="F","Female",IF( orders[[#This Row],[Customer Gender]]="O","Other", "Unknown")))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3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>
        <f>IF(orders[[#This Row],[Customer Gender]]="M","Male",IF( orders[[#This Row],[Customer Gender]]="F","Female",IF( orders[[#This Row],[Customer Gender]]="O","Other", "Unknown")))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3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>
        <f>IF(orders[[#This Row],[Customer Gender]]="M","Male",IF( orders[[#This Row],[Customer Gender]]="F","Female",IF( orders[[#This Row],[Customer Gender]]="O","Other", "Unknown")))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3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>
        <f>IF(orders[[#This Row],[Customer Gender]]="M","Male",IF( orders[[#This Row],[Customer Gender]]="F","Female",IF( orders[[#This Row],[Customer Gender]]="O","Other", "Unknown")))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3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>
        <f>IF(orders[[#This Row],[Customer Gender]]="M","Male",IF( orders[[#This Row],[Customer Gender]]="F","Female",IF( orders[[#This Row],[Customer Gender]]="O","Other", "Unknown")))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3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>
        <f>IF(orders[[#This Row],[Customer Gender]]="M","Male",IF( orders[[#This Row],[Customer Gender]]="F","Female",IF( orders[[#This Row],[Customer Gender]]="O","Other", "Unknown")))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3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>
        <f>IF(orders[[#This Row],[Customer Gender]]="M","Male",IF( orders[[#This Row],[Customer Gender]]="F","Female",IF( orders[[#This Row],[Customer Gender]]="O","Other", "Unknown")))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3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>
        <f>IF(orders[[#This Row],[Customer Gender]]="M","Male",IF( orders[[#This Row],[Customer Gender]]="F","Female",IF( orders[[#This Row],[Customer Gender]]="O","Other", "Unknown")))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3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>
        <f>IF(orders[[#This Row],[Customer Gender]]="M","Male",IF( orders[[#This Row],[Customer Gender]]="F","Female",IF( orders[[#This Row],[Customer Gender]]="O","Other", "Unknown")))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3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>
        <f>IF(orders[[#This Row],[Customer Gender]]="M","Male",IF( orders[[#This Row],[Customer Gender]]="F","Female",IF( orders[[#This Row],[Customer Gender]]="O","Other", "Unknown")))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3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>
        <f>IF(orders[[#This Row],[Customer Gender]]="M","Male",IF( orders[[#This Row],[Customer Gender]]="F","Female",IF( orders[[#This Row],[Customer Gender]]="O","Other", "Unknown")))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3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>
        <f>IF(orders[[#This Row],[Customer Gender]]="M","Male",IF( orders[[#This Row],[Customer Gender]]="F","Female",IF( orders[[#This Row],[Customer Gender]]="O","Other", "Unknown")))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3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>
        <f>IF(orders[[#This Row],[Customer Gender]]="M","Male",IF( orders[[#This Row],[Customer Gender]]="F","Female",IF( orders[[#This Row],[Customer Gender]]="O","Other", "Unknown")))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3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>
        <f>IF(orders[[#This Row],[Customer Gender]]="M","Male",IF( orders[[#This Row],[Customer Gender]]="F","Female",IF( orders[[#This Row],[Customer Gender]]="O","Other", "Unknown")))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3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>
        <f>IF(orders[[#This Row],[Customer Gender]]="M","Male",IF( orders[[#This Row],[Customer Gender]]="F","Female",IF( orders[[#This Row],[Customer Gender]]="O","Other", "Unknown")))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3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>
        <f>IF(orders[[#This Row],[Customer Gender]]="M","Male",IF( orders[[#This Row],[Customer Gender]]="F","Female",IF( orders[[#This Row],[Customer Gender]]="O","Other", "Unknown")))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3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>
        <f>IF(orders[[#This Row],[Customer Gender]]="M","Male",IF( orders[[#This Row],[Customer Gender]]="F","Female",IF( orders[[#This Row],[Customer Gender]]="O","Other", "Unknown")))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3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>
        <f>IF(orders[[#This Row],[Customer Gender]]="M","Male",IF( orders[[#This Row],[Customer Gender]]="F","Female",IF( orders[[#This Row],[Customer Gender]]="O","Other", "Unknown")))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3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>
        <f>IF(orders[[#This Row],[Customer Gender]]="M","Male",IF( orders[[#This Row],[Customer Gender]]="F","Female",IF( orders[[#This Row],[Customer Gender]]="O","Other", "Unknown")))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3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>
        <f>IF(orders[[#This Row],[Customer Gender]]="M","Male",IF( orders[[#This Row],[Customer Gender]]="F","Female",IF( orders[[#This Row],[Customer Gender]]="O","Other", "Unknown")))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3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>
        <f>IF(orders[[#This Row],[Customer Gender]]="M","Male",IF( orders[[#This Row],[Customer Gender]]="F","Female",IF( orders[[#This Row],[Customer Gender]]="O","Other", "Unknown")))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3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>
        <f>IF(orders[[#This Row],[Customer Gender]]="M","Male",IF( orders[[#This Row],[Customer Gender]]="F","Female",IF( orders[[#This Row],[Customer Gender]]="O","Other", "Unknown")))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3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>
        <f>IF(orders[[#This Row],[Customer Gender]]="M","Male",IF( orders[[#This Row],[Customer Gender]]="F","Female",IF( orders[[#This Row],[Customer Gender]]="O","Other", "Unknown")))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3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>
        <f>IF(orders[[#This Row],[Customer Gender]]="M","Male",IF( orders[[#This Row],[Customer Gender]]="F","Female",IF( orders[[#This Row],[Customer Gender]]="O","Other", "Unknown")))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3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>
        <f>IF(orders[[#This Row],[Customer Gender]]="M","Male",IF( orders[[#This Row],[Customer Gender]]="F","Female",IF( orders[[#This Row],[Customer Gender]]="O","Other", "Unknown")))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3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>
        <f>IF(orders[[#This Row],[Customer Gender]]="M","Male",IF( orders[[#This Row],[Customer Gender]]="F","Female",IF( orders[[#This Row],[Customer Gender]]="O","Other", "Unknown")))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3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>
        <f>IF(orders[[#This Row],[Customer Gender]]="M","Male",IF( orders[[#This Row],[Customer Gender]]="F","Female",IF( orders[[#This Row],[Customer Gender]]="O","Other", "Unknown")))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3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>
        <f>IF(orders[[#This Row],[Customer Gender]]="M","Male",IF( orders[[#This Row],[Customer Gender]]="F","Female",IF( orders[[#This Row],[Customer Gender]]="O","Other", "Unknown")))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3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>
        <f>IF(orders[[#This Row],[Customer Gender]]="M","Male",IF( orders[[#This Row],[Customer Gender]]="F","Female",IF( orders[[#This Row],[Customer Gender]]="O","Other", "Unknown")))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3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>
        <f>IF(orders[[#This Row],[Customer Gender]]="M","Male",IF( orders[[#This Row],[Customer Gender]]="F","Female",IF( orders[[#This Row],[Customer Gender]]="O","Other", "Unknown")))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3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>
        <f>IF(orders[[#This Row],[Customer Gender]]="M","Male",IF( orders[[#This Row],[Customer Gender]]="F","Female",IF( orders[[#This Row],[Customer Gender]]="O","Other", "Unknown")))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3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>
        <f>IF(orders[[#This Row],[Customer Gender]]="M","Male",IF( orders[[#This Row],[Customer Gender]]="F","Female",IF( orders[[#This Row],[Customer Gender]]="O","Other", "Unknown")))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3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>
        <f>IF(orders[[#This Row],[Customer Gender]]="M","Male",IF( orders[[#This Row],[Customer Gender]]="F","Female",IF( orders[[#This Row],[Customer Gender]]="O","Other", "Unknown")))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3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>
        <f>IF(orders[[#This Row],[Customer Gender]]="M","Male",IF( orders[[#This Row],[Customer Gender]]="F","Female",IF( orders[[#This Row],[Customer Gender]]="O","Other", "Unknown")))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3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>
        <f>IF(orders[[#This Row],[Customer Gender]]="M","Male",IF( orders[[#This Row],[Customer Gender]]="F","Female",IF( orders[[#This Row],[Customer Gender]]="O","Other", "Unknown")))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3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>
        <f>IF(orders[[#This Row],[Customer Gender]]="M","Male",IF( orders[[#This Row],[Customer Gender]]="F","Female",IF( orders[[#This Row],[Customer Gender]]="O","Other", "Unknown")))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3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>
        <f>IF(orders[[#This Row],[Customer Gender]]="M","Male",IF( orders[[#This Row],[Customer Gender]]="F","Female",IF( orders[[#This Row],[Customer Gender]]="O","Other", "Unknown")))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3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>
        <f>IF(orders[[#This Row],[Customer Gender]]="M","Male",IF( orders[[#This Row],[Customer Gender]]="F","Female",IF( orders[[#This Row],[Customer Gender]]="O","Other", "Unknown")))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3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>
        <f>IF(orders[[#This Row],[Customer Gender]]="M","Male",IF( orders[[#This Row],[Customer Gender]]="F","Female",IF( orders[[#This Row],[Customer Gender]]="O","Other", "Unknown")))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3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>
        <f>IF(orders[[#This Row],[Customer Gender]]="M","Male",IF( orders[[#This Row],[Customer Gender]]="F","Female",IF( orders[[#This Row],[Customer Gender]]="O","Other", "Unknown")))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3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>
        <f>IF(orders[[#This Row],[Customer Gender]]="M","Male",IF( orders[[#This Row],[Customer Gender]]="F","Female",IF( orders[[#This Row],[Customer Gender]]="O","Other", "Unknown")))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3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>
        <f>IF(orders[[#This Row],[Customer Gender]]="M","Male",IF( orders[[#This Row],[Customer Gender]]="F","Female",IF( orders[[#This Row],[Customer Gender]]="O","Other", "Unknown")))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3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>
        <f>IF(orders[[#This Row],[Customer Gender]]="M","Male",IF( orders[[#This Row],[Customer Gender]]="F","Female",IF( orders[[#This Row],[Customer Gender]]="O","Other", "Unknown")))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3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>
        <f>IF(orders[[#This Row],[Customer Gender]]="M","Male",IF( orders[[#This Row],[Customer Gender]]="F","Female",IF( orders[[#This Row],[Customer Gender]]="O","Other", "Unknown")))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3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>
        <f>IF(orders[[#This Row],[Customer Gender]]="M","Male",IF( orders[[#This Row],[Customer Gender]]="F","Female",IF( orders[[#This Row],[Customer Gender]]="O","Other", "Unknown")))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3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>
        <f>IF(orders[[#This Row],[Customer Gender]]="M","Male",IF( orders[[#This Row],[Customer Gender]]="F","Female",IF( orders[[#This Row],[Customer Gender]]="O","Other", "Unknown")))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3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>
        <f>IF(orders[[#This Row],[Customer Gender]]="M","Male",IF( orders[[#This Row],[Customer Gender]]="F","Female",IF( orders[[#This Row],[Customer Gender]]="O","Other", "Unknown")))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3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>
        <f>IF(orders[[#This Row],[Customer Gender]]="M","Male",IF( orders[[#This Row],[Customer Gender]]="F","Female",IF( orders[[#This Row],[Customer Gender]]="O","Other", "Unknown")))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3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>
        <f>IF(orders[[#This Row],[Customer Gender]]="M","Male",IF( orders[[#This Row],[Customer Gender]]="F","Female",IF( orders[[#This Row],[Customer Gender]]="O","Other", "Unknown")))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3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>
        <f>IF(orders[[#This Row],[Customer Gender]]="M","Male",IF( orders[[#This Row],[Customer Gender]]="F","Female",IF( orders[[#This Row],[Customer Gender]]="O","Other", "Unknown")))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3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>
        <f>IF(orders[[#This Row],[Customer Gender]]="M","Male",IF( orders[[#This Row],[Customer Gender]]="F","Female",IF( orders[[#This Row],[Customer Gender]]="O","Other", "Unknown")))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3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>
        <f>IF(orders[[#This Row],[Customer Gender]]="M","Male",IF( orders[[#This Row],[Customer Gender]]="F","Female",IF( orders[[#This Row],[Customer Gender]]="O","Other", "Unknown")))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3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>
        <f>IF(orders[[#This Row],[Customer Gender]]="M","Male",IF( orders[[#This Row],[Customer Gender]]="F","Female",IF( orders[[#This Row],[Customer Gender]]="O","Other", "Unknown")))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3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>
        <f>IF(orders[[#This Row],[Customer Gender]]="M","Male",IF( orders[[#This Row],[Customer Gender]]="F","Female",IF( orders[[#This Row],[Customer Gender]]="O","Other", "Unknown")))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3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>
        <f>IF(orders[[#This Row],[Customer Gender]]="M","Male",IF( orders[[#This Row],[Customer Gender]]="F","Female",IF( orders[[#This Row],[Customer Gender]]="O","Other", "Unknown")))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3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>
        <f>IF(orders[[#This Row],[Customer Gender]]="M","Male",IF( orders[[#This Row],[Customer Gender]]="F","Female",IF( orders[[#This Row],[Customer Gender]]="O","Other", "Unknown")))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3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>
        <f>IF(orders[[#This Row],[Customer Gender]]="M","Male",IF( orders[[#This Row],[Customer Gender]]="F","Female",IF( orders[[#This Row],[Customer Gender]]="O","Other", "Unknown")))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3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>
        <f>IF(orders[[#This Row],[Customer Gender]]="M","Male",IF( orders[[#This Row],[Customer Gender]]="F","Female",IF( orders[[#This Row],[Customer Gender]]="O","Other", "Unknown")))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3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>
        <f>IF(orders[[#This Row],[Customer Gender]]="M","Male",IF( orders[[#This Row],[Customer Gender]]="F","Female",IF( orders[[#This Row],[Customer Gender]]="O","Other", "Unknown")))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3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>
        <f>IF(orders[[#This Row],[Customer Gender]]="M","Male",IF( orders[[#This Row],[Customer Gender]]="F","Female",IF( orders[[#This Row],[Customer Gender]]="O","Other", "Unknown")))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3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>
        <f>IF(orders[[#This Row],[Customer Gender]]="M","Male",IF( orders[[#This Row],[Customer Gender]]="F","Female",IF( orders[[#This Row],[Customer Gender]]="O","Other", "Unknown")))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3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>
        <f>IF(orders[[#This Row],[Customer Gender]]="M","Male",IF( orders[[#This Row],[Customer Gender]]="F","Female",IF( orders[[#This Row],[Customer Gender]]="O","Other", "Unknown")))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3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>
        <f>IF(orders[[#This Row],[Customer Gender]]="M","Male",IF( orders[[#This Row],[Customer Gender]]="F","Female",IF( orders[[#This Row],[Customer Gender]]="O","Other", "Unknown")))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3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>
        <f>IF(orders[[#This Row],[Customer Gender]]="M","Male",IF( orders[[#This Row],[Customer Gender]]="F","Female",IF( orders[[#This Row],[Customer Gender]]="O","Other", "Unknown")))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3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>
        <f>IF(orders[[#This Row],[Customer Gender]]="M","Male",IF( orders[[#This Row],[Customer Gender]]="F","Female",IF( orders[[#This Row],[Customer Gender]]="O","Other", "Unknown")))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3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>
        <f>IF(orders[[#This Row],[Customer Gender]]="M","Male",IF( orders[[#This Row],[Customer Gender]]="F","Female",IF( orders[[#This Row],[Customer Gender]]="O","Other", "Unknown")))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3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>
        <f>IF(orders[[#This Row],[Customer Gender]]="M","Male",IF( orders[[#This Row],[Customer Gender]]="F","Female",IF( orders[[#This Row],[Customer Gender]]="O","Other", "Unknown")))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3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>
        <f>IF(orders[[#This Row],[Customer Gender]]="M","Male",IF( orders[[#This Row],[Customer Gender]]="F","Female",IF( orders[[#This Row],[Customer Gender]]="O","Other", "Unknown")))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3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>
        <f>IF(orders[[#This Row],[Customer Gender]]="M","Male",IF( orders[[#This Row],[Customer Gender]]="F","Female",IF( orders[[#This Row],[Customer Gender]]="O","Other", "Unknown")))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3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>
        <f>IF(orders[[#This Row],[Customer Gender]]="M","Male",IF( orders[[#This Row],[Customer Gender]]="F","Female",IF( orders[[#This Row],[Customer Gender]]="O","Other", "Unknown")))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3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>
        <f>IF(orders[[#This Row],[Customer Gender]]="M","Male",IF( orders[[#This Row],[Customer Gender]]="F","Female",IF( orders[[#This Row],[Customer Gender]]="O","Other", "Unknown")))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3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>
        <f>IF(orders[[#This Row],[Customer Gender]]="M","Male",IF( orders[[#This Row],[Customer Gender]]="F","Female",IF( orders[[#This Row],[Customer Gender]]="O","Other", "Unknown")))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3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>
        <f>IF(orders[[#This Row],[Customer Gender]]="M","Male",IF( orders[[#This Row],[Customer Gender]]="F","Female",IF( orders[[#This Row],[Customer Gender]]="O","Other", "Unknown")))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3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>
        <f>IF(orders[[#This Row],[Customer Gender]]="M","Male",IF( orders[[#This Row],[Customer Gender]]="F","Female",IF( orders[[#This Row],[Customer Gender]]="O","Other", "Unknown")))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3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>
        <f>IF(orders[[#This Row],[Customer Gender]]="M","Male",IF( orders[[#This Row],[Customer Gender]]="F","Female",IF( orders[[#This Row],[Customer Gender]]="O","Other", "Unknown")))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3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>
        <f>IF(orders[[#This Row],[Customer Gender]]="M","Male",IF( orders[[#This Row],[Customer Gender]]="F","Female",IF( orders[[#This Row],[Customer Gender]]="O","Other", "Unknown")))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3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>
        <f>IF(orders[[#This Row],[Customer Gender]]="M","Male",IF( orders[[#This Row],[Customer Gender]]="F","Female",IF( orders[[#This Row],[Customer Gender]]="O","Other", "Unknown")))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3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>
        <f>IF(orders[[#This Row],[Customer Gender]]="M","Male",IF( orders[[#This Row],[Customer Gender]]="F","Female",IF( orders[[#This Row],[Customer Gender]]="O","Other", "Unknown")))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3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>
        <f>IF(orders[[#This Row],[Customer Gender]]="M","Male",IF( orders[[#This Row],[Customer Gender]]="F","Female",IF( orders[[#This Row],[Customer Gender]]="O","Other", "Unknown")))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3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>
        <f>IF(orders[[#This Row],[Customer Gender]]="M","Male",IF( orders[[#This Row],[Customer Gender]]="F","Female",IF( orders[[#This Row],[Customer Gender]]="O","Other", "Unknown")))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3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>
        <f>IF(orders[[#This Row],[Customer Gender]]="M","Male",IF( orders[[#This Row],[Customer Gender]]="F","Female",IF( orders[[#This Row],[Customer Gender]]="O","Other", "Unknown")))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3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>
        <f>IF(orders[[#This Row],[Customer Gender]]="M","Male",IF( orders[[#This Row],[Customer Gender]]="F","Female",IF( orders[[#This Row],[Customer Gender]]="O","Other", "Unknown")))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3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>
        <f>IF(orders[[#This Row],[Customer Gender]]="M","Male",IF( orders[[#This Row],[Customer Gender]]="F","Female",IF( orders[[#This Row],[Customer Gender]]="O","Other", "Unknown")))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3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>
        <f>IF(orders[[#This Row],[Customer Gender]]="M","Male",IF( orders[[#This Row],[Customer Gender]]="F","Female",IF( orders[[#This Row],[Customer Gender]]="O","Other", "Unknown")))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3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>
        <f>IF(orders[[#This Row],[Customer Gender]]="M","Male",IF( orders[[#This Row],[Customer Gender]]="F","Female",IF( orders[[#This Row],[Customer Gender]]="O","Other", "Unknown")))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3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>
        <f>IF(orders[[#This Row],[Customer Gender]]="M","Male",IF( orders[[#This Row],[Customer Gender]]="F","Female",IF( orders[[#This Row],[Customer Gender]]="O","Other", "Unknown")))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3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>
        <f>IF(orders[[#This Row],[Customer Gender]]="M","Male",IF( orders[[#This Row],[Customer Gender]]="F","Female",IF( orders[[#This Row],[Customer Gender]]="O","Other", "Unknown")))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3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>
        <f>IF(orders[[#This Row],[Customer Gender]]="M","Male",IF( orders[[#This Row],[Customer Gender]]="F","Female",IF( orders[[#This Row],[Customer Gender]]="O","Other", "Unknown")))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3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>
        <f>IF(orders[[#This Row],[Customer Gender]]="M","Male",IF( orders[[#This Row],[Customer Gender]]="F","Female",IF( orders[[#This Row],[Customer Gender]]="O","Other", "Unknown")))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3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>
        <f>IF(orders[[#This Row],[Customer Gender]]="M","Male",IF( orders[[#This Row],[Customer Gender]]="F","Female",IF( orders[[#This Row],[Customer Gender]]="O","Other", "Unknown")))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3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>
        <f>IF(orders[[#This Row],[Customer Gender]]="M","Male",IF( orders[[#This Row],[Customer Gender]]="F","Female",IF( orders[[#This Row],[Customer Gender]]="O","Other", "Unknown")))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3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>
        <f>IF(orders[[#This Row],[Customer Gender]]="M","Male",IF( orders[[#This Row],[Customer Gender]]="F","Female",IF( orders[[#This Row],[Customer Gender]]="O","Other", "Unknown")))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3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>
        <f>IF(orders[[#This Row],[Customer Gender]]="M","Male",IF( orders[[#This Row],[Customer Gender]]="F","Female",IF( orders[[#This Row],[Customer Gender]]="O","Other", "Unknown")))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3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>
        <f>IF(orders[[#This Row],[Customer Gender]]="M","Male",IF( orders[[#This Row],[Customer Gender]]="F","Female",IF( orders[[#This Row],[Customer Gender]]="O","Other", "Unknown")))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3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>
        <f>IF(orders[[#This Row],[Customer Gender]]="M","Male",IF( orders[[#This Row],[Customer Gender]]="F","Female",IF( orders[[#This Row],[Customer Gender]]="O","Other", "Unknown")))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3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>
        <f>IF(orders[[#This Row],[Customer Gender]]="M","Male",IF( orders[[#This Row],[Customer Gender]]="F","Female",IF( orders[[#This Row],[Customer Gender]]="O","Other", "Unknown")))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3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>
        <f>IF(orders[[#This Row],[Customer Gender]]="M","Male",IF( orders[[#This Row],[Customer Gender]]="F","Female",IF( orders[[#This Row],[Customer Gender]]="O","Other", "Unknown")))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3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>
        <f>IF(orders[[#This Row],[Customer Gender]]="M","Male",IF( orders[[#This Row],[Customer Gender]]="F","Female",IF( orders[[#This Row],[Customer Gender]]="O","Other", "Unknown")))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3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>
        <f>IF(orders[[#This Row],[Customer Gender]]="M","Male",IF( orders[[#This Row],[Customer Gender]]="F","Female",IF( orders[[#This Row],[Customer Gender]]="O","Other", "Unknown")))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3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>
        <f>IF(orders[[#This Row],[Customer Gender]]="M","Male",IF( orders[[#This Row],[Customer Gender]]="F","Female",IF( orders[[#This Row],[Customer Gender]]="O","Other", "Unknown")))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3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>
        <f>IF(orders[[#This Row],[Customer Gender]]="M","Male",IF( orders[[#This Row],[Customer Gender]]="F","Female",IF( orders[[#This Row],[Customer Gender]]="O","Other", "Unknown")))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3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>
        <f>IF(orders[[#This Row],[Customer Gender]]="M","Male",IF( orders[[#This Row],[Customer Gender]]="F","Female",IF( orders[[#This Row],[Customer Gender]]="O","Other", "Unknown")))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3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>
        <f>IF(orders[[#This Row],[Customer Gender]]="M","Male",IF( orders[[#This Row],[Customer Gender]]="F","Female",IF( orders[[#This Row],[Customer Gender]]="O","Other", "Unknown")))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3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>
        <f>IF(orders[[#This Row],[Customer Gender]]="M","Male",IF( orders[[#This Row],[Customer Gender]]="F","Female",IF( orders[[#This Row],[Customer Gender]]="O","Other", "Unknown")))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3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>
        <f>IF(orders[[#This Row],[Customer Gender]]="M","Male",IF( orders[[#This Row],[Customer Gender]]="F","Female",IF( orders[[#This Row],[Customer Gender]]="O","Other", "Unknown")))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3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>
        <f>IF(orders[[#This Row],[Customer Gender]]="M","Male",IF( orders[[#This Row],[Customer Gender]]="F","Female",IF( orders[[#This Row],[Customer Gender]]="O","Other", "Unknown")))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3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>
        <f>IF(orders[[#This Row],[Customer Gender]]="M","Male",IF( orders[[#This Row],[Customer Gender]]="F","Female",IF( orders[[#This Row],[Customer Gender]]="O","Other", "Unknown")))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3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>
        <f>IF(orders[[#This Row],[Customer Gender]]="M","Male",IF( orders[[#This Row],[Customer Gender]]="F","Female",IF( orders[[#This Row],[Customer Gender]]="O","Other", "Unknown")))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3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>
        <f>IF(orders[[#This Row],[Customer Gender]]="M","Male",IF( orders[[#This Row],[Customer Gender]]="F","Female",IF( orders[[#This Row],[Customer Gender]]="O","Other", "Unknown")))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3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>
        <f>IF(orders[[#This Row],[Customer Gender]]="M","Male",IF( orders[[#This Row],[Customer Gender]]="F","Female",IF( orders[[#This Row],[Customer Gender]]="O","Other", "Unknown")))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3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>
        <f>IF(orders[[#This Row],[Customer Gender]]="M","Male",IF( orders[[#This Row],[Customer Gender]]="F","Female",IF( orders[[#This Row],[Customer Gender]]="O","Other", "Unknown")))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3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>
        <f>IF(orders[[#This Row],[Customer Gender]]="M","Male",IF( orders[[#This Row],[Customer Gender]]="F","Female",IF( orders[[#This Row],[Customer Gender]]="O","Other", "Unknown")))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3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>
        <f>IF(orders[[#This Row],[Customer Gender]]="M","Male",IF( orders[[#This Row],[Customer Gender]]="F","Female",IF( orders[[#This Row],[Customer Gender]]="O","Other", "Unknown")))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3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>
        <f>IF(orders[[#This Row],[Customer Gender]]="M","Male",IF( orders[[#This Row],[Customer Gender]]="F","Female",IF( orders[[#This Row],[Customer Gender]]="O","Other", "Unknown")))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3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>
        <f>IF(orders[[#This Row],[Customer Gender]]="M","Male",IF( orders[[#This Row],[Customer Gender]]="F","Female",IF( orders[[#This Row],[Customer Gender]]="O","Other", "Unknown")))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3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>
        <f>IF(orders[[#This Row],[Customer Gender]]="M","Male",IF( orders[[#This Row],[Customer Gender]]="F","Female",IF( orders[[#This Row],[Customer Gender]]="O","Other", "Unknown")))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3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>
        <f>IF(orders[[#This Row],[Customer Gender]]="M","Male",IF( orders[[#This Row],[Customer Gender]]="F","Female",IF( orders[[#This Row],[Customer Gender]]="O","Other", "Unknown")))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3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>
        <f>IF(orders[[#This Row],[Customer Gender]]="M","Male",IF( orders[[#This Row],[Customer Gender]]="F","Female",IF( orders[[#This Row],[Customer Gender]]="O","Other", "Unknown")))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3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>
        <f>IF(orders[[#This Row],[Customer Gender]]="M","Male",IF( orders[[#This Row],[Customer Gender]]="F","Female",IF( orders[[#This Row],[Customer Gender]]="O","Other", "Unknown")))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3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>
        <f>IF(orders[[#This Row],[Customer Gender]]="M","Male",IF( orders[[#This Row],[Customer Gender]]="F","Female",IF( orders[[#This Row],[Customer Gender]]="O","Other", "Unknown")))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3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>
        <f>IF(orders[[#This Row],[Customer Gender]]="M","Male",IF( orders[[#This Row],[Customer Gender]]="F","Female",IF( orders[[#This Row],[Customer Gender]]="O","Other", "Unknown")))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3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>
        <f>IF(orders[[#This Row],[Customer Gender]]="M","Male",IF( orders[[#This Row],[Customer Gender]]="F","Female",IF( orders[[#This Row],[Customer Gender]]="O","Other", "Unknown")))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3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>
        <f>IF(orders[[#This Row],[Customer Gender]]="M","Male",IF( orders[[#This Row],[Customer Gender]]="F","Female",IF( orders[[#This Row],[Customer Gender]]="O","Other", "Unknown")))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3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>
        <f>IF(orders[[#This Row],[Customer Gender]]="M","Male",IF( orders[[#This Row],[Customer Gender]]="F","Female",IF( orders[[#This Row],[Customer Gender]]="O","Other", "Unknown")))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3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>
        <f>IF(orders[[#This Row],[Customer Gender]]="M","Male",IF( orders[[#This Row],[Customer Gender]]="F","Female",IF( orders[[#This Row],[Customer Gender]]="O","Other", "Unknown")))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3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>
        <f>IF(orders[[#This Row],[Customer Gender]]="M","Male",IF( orders[[#This Row],[Customer Gender]]="F","Female",IF( orders[[#This Row],[Customer Gender]]="O","Other", "Unknown")))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3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>
        <f>IF(orders[[#This Row],[Customer Gender]]="M","Male",IF( orders[[#This Row],[Customer Gender]]="F","Female",IF( orders[[#This Row],[Customer Gender]]="O","Other", "Unknown")))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3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>
        <f>IF(orders[[#This Row],[Customer Gender]]="M","Male",IF( orders[[#This Row],[Customer Gender]]="F","Female",IF( orders[[#This Row],[Customer Gender]]="O","Other", "Unknown")))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3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>
        <f>IF(orders[[#This Row],[Customer Gender]]="M","Male",IF( orders[[#This Row],[Customer Gender]]="F","Female",IF( orders[[#This Row],[Customer Gender]]="O","Other", "Unknown")))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3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>
        <f>IF(orders[[#This Row],[Customer Gender]]="M","Male",IF( orders[[#This Row],[Customer Gender]]="F","Female",IF( orders[[#This Row],[Customer Gender]]="O","Other", "Unknown")))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3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>
        <f>IF(orders[[#This Row],[Customer Gender]]="M","Male",IF( orders[[#This Row],[Customer Gender]]="F","Female",IF( orders[[#This Row],[Customer Gender]]="O","Other", "Unknown")))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3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>
        <f>IF(orders[[#This Row],[Customer Gender]]="M","Male",IF( orders[[#This Row],[Customer Gender]]="F","Female",IF( orders[[#This Row],[Customer Gender]]="O","Other", "Unknown")))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3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>
        <f>IF(orders[[#This Row],[Customer Gender]]="M","Male",IF( orders[[#This Row],[Customer Gender]]="F","Female",IF( orders[[#This Row],[Customer Gender]]="O","Other", "Unknown")))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3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>
        <f>IF(orders[[#This Row],[Customer Gender]]="M","Male",IF( orders[[#This Row],[Customer Gender]]="F","Female",IF( orders[[#This Row],[Customer Gender]]="O","Other", "Unknown")))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3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>
        <f>IF(orders[[#This Row],[Customer Gender]]="M","Male",IF( orders[[#This Row],[Customer Gender]]="F","Female",IF( orders[[#This Row],[Customer Gender]]="O","Other", "Unknown")))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3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>
        <f>IF(orders[[#This Row],[Customer Gender]]="M","Male",IF( orders[[#This Row],[Customer Gender]]="F","Female",IF( orders[[#This Row],[Customer Gender]]="O","Other", "Unknown")))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3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>
        <f>IF(orders[[#This Row],[Customer Gender]]="M","Male",IF( orders[[#This Row],[Customer Gender]]="F","Female",IF( orders[[#This Row],[Customer Gender]]="O","Other", "Unknown")))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3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>
        <f>IF(orders[[#This Row],[Customer Gender]]="M","Male",IF( orders[[#This Row],[Customer Gender]]="F","Female",IF( orders[[#This Row],[Customer Gender]]="O","Other", "Unknown")))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3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>
        <f>IF(orders[[#This Row],[Customer Gender]]="M","Male",IF( orders[[#This Row],[Customer Gender]]="F","Female",IF( orders[[#This Row],[Customer Gender]]="O","Other", "Unknown")))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3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>
        <f>IF(orders[[#This Row],[Customer Gender]]="M","Male",IF( orders[[#This Row],[Customer Gender]]="F","Female",IF( orders[[#This Row],[Customer Gender]]="O","Other", "Unknown")))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3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>
        <f>IF(orders[[#This Row],[Customer Gender]]="M","Male",IF( orders[[#This Row],[Customer Gender]]="F","Female",IF( orders[[#This Row],[Customer Gender]]="O","Other", "Unknown")))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3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>
        <f>IF(orders[[#This Row],[Customer Gender]]="M","Male",IF( orders[[#This Row],[Customer Gender]]="F","Female",IF( orders[[#This Row],[Customer Gender]]="O","Other", "Unknown")))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3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>
        <f>IF(orders[[#This Row],[Customer Gender]]="M","Male",IF( orders[[#This Row],[Customer Gender]]="F","Female",IF( orders[[#This Row],[Customer Gender]]="O","Other", "Unknown")))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3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>
        <f>IF(orders[[#This Row],[Customer Gender]]="M","Male",IF( orders[[#This Row],[Customer Gender]]="F","Female",IF( orders[[#This Row],[Customer Gender]]="O","Other", "Unknown")))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3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>
        <f>IF(orders[[#This Row],[Customer Gender]]="M","Male",IF( orders[[#This Row],[Customer Gender]]="F","Female",IF( orders[[#This Row],[Customer Gender]]="O","Other", "Unknown")))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3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>
        <f>IF(orders[[#This Row],[Customer Gender]]="M","Male",IF( orders[[#This Row],[Customer Gender]]="F","Female",IF( orders[[#This Row],[Customer Gender]]="O","Other", "Unknown")))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3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>
        <f>IF(orders[[#This Row],[Customer Gender]]="M","Male",IF( orders[[#This Row],[Customer Gender]]="F","Female",IF( orders[[#This Row],[Customer Gender]]="O","Other", "Unknown")))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3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>
        <f>IF(orders[[#This Row],[Customer Gender]]="M","Male",IF( orders[[#This Row],[Customer Gender]]="F","Female",IF( orders[[#This Row],[Customer Gender]]="O","Other", "Unknown")))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3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>
        <f>IF(orders[[#This Row],[Customer Gender]]="M","Male",IF( orders[[#This Row],[Customer Gender]]="F","Female",IF( orders[[#This Row],[Customer Gender]]="O","Other", "Unknown")))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3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>
        <f>IF(orders[[#This Row],[Customer Gender]]="M","Male",IF( orders[[#This Row],[Customer Gender]]="F","Female",IF( orders[[#This Row],[Customer Gender]]="O","Other", "Unknown")))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3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>
        <f>IF(orders[[#This Row],[Customer Gender]]="M","Male",IF( orders[[#This Row],[Customer Gender]]="F","Female",IF( orders[[#This Row],[Customer Gender]]="O","Other", "Unknown")))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3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>
        <f>IF(orders[[#This Row],[Customer Gender]]="M","Male",IF( orders[[#This Row],[Customer Gender]]="F","Female",IF( orders[[#This Row],[Customer Gender]]="O","Other", "Unknown")))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3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>
        <f>IF(orders[[#This Row],[Customer Gender]]="M","Male",IF( orders[[#This Row],[Customer Gender]]="F","Female",IF( orders[[#This Row],[Customer Gender]]="O","Other", "Unknown")))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3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>
        <f>IF(orders[[#This Row],[Customer Gender]]="M","Male",IF( orders[[#This Row],[Customer Gender]]="F","Female",IF( orders[[#This Row],[Customer Gender]]="O","Other", "Unknown")))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3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>
        <f>IF(orders[[#This Row],[Customer Gender]]="M","Male",IF( orders[[#This Row],[Customer Gender]]="F","Female",IF( orders[[#This Row],[Customer Gender]]="O","Other", "Unknown")))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3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>
        <f>IF(orders[[#This Row],[Customer Gender]]="M","Male",IF( orders[[#This Row],[Customer Gender]]="F","Female",IF( orders[[#This Row],[Customer Gender]]="O","Other", "Unknown")))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3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>
        <f>IF(orders[[#This Row],[Customer Gender]]="M","Male",IF( orders[[#This Row],[Customer Gender]]="F","Female",IF( orders[[#This Row],[Customer Gender]]="O","Other", "Unknown")))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3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>
        <f>IF(orders[[#This Row],[Customer Gender]]="M","Male",IF( orders[[#This Row],[Customer Gender]]="F","Female",IF( orders[[#This Row],[Customer Gender]]="O","Other", "Unknown")))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3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>
        <f>IF(orders[[#This Row],[Customer Gender]]="M","Male",IF( orders[[#This Row],[Customer Gender]]="F","Female",IF( orders[[#This Row],[Customer Gender]]="O","Other", "Unknown")))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3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>
        <f>IF(orders[[#This Row],[Customer Gender]]="M","Male",IF( orders[[#This Row],[Customer Gender]]="F","Female",IF( orders[[#This Row],[Customer Gender]]="O","Other", "Unknown")))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3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>
        <f>IF(orders[[#This Row],[Customer Gender]]="M","Male",IF( orders[[#This Row],[Customer Gender]]="F","Female",IF( orders[[#This Row],[Customer Gender]]="O","Other", "Unknown")))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3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>
        <f>IF(orders[[#This Row],[Customer Gender]]="M","Male",IF( orders[[#This Row],[Customer Gender]]="F","Female",IF( orders[[#This Row],[Customer Gender]]="O","Other", "Unknown")))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3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>
        <f>IF(orders[[#This Row],[Customer Gender]]="M","Male",IF( orders[[#This Row],[Customer Gender]]="F","Female",IF( orders[[#This Row],[Customer Gender]]="O","Other", "Unknown")))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3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>
        <f>IF(orders[[#This Row],[Customer Gender]]="M","Male",IF( orders[[#This Row],[Customer Gender]]="F","Female",IF( orders[[#This Row],[Customer Gender]]="O","Other", "Unknown")))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3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>
        <f>IF(orders[[#This Row],[Customer Gender]]="M","Male",IF( orders[[#This Row],[Customer Gender]]="F","Female",IF( orders[[#This Row],[Customer Gender]]="O","Other", "Unknown")))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3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>
        <f>IF(orders[[#This Row],[Customer Gender]]="M","Male",IF( orders[[#This Row],[Customer Gender]]="F","Female",IF( orders[[#This Row],[Customer Gender]]="O","Other", "Unknown")))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3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>
        <f>IF(orders[[#This Row],[Customer Gender]]="M","Male",IF( orders[[#This Row],[Customer Gender]]="F","Female",IF( orders[[#This Row],[Customer Gender]]="O","Other", "Unknown")))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3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>
        <f>IF(orders[[#This Row],[Customer Gender]]="M","Male",IF( orders[[#This Row],[Customer Gender]]="F","Female",IF( orders[[#This Row],[Customer Gender]]="O","Other", "Unknown")))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3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>
        <f>IF(orders[[#This Row],[Customer Gender]]="M","Male",IF( orders[[#This Row],[Customer Gender]]="F","Female",IF( orders[[#This Row],[Customer Gender]]="O","Other", "Unknown")))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3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>
        <f>IF(orders[[#This Row],[Customer Gender]]="M","Male",IF( orders[[#This Row],[Customer Gender]]="F","Female",IF( orders[[#This Row],[Customer Gender]]="O","Other", "Unknown")))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3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>
        <f>IF(orders[[#This Row],[Customer Gender]]="M","Male",IF( orders[[#This Row],[Customer Gender]]="F","Female",IF( orders[[#This Row],[Customer Gender]]="O","Other", "Unknown")))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3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>
        <f>IF(orders[[#This Row],[Customer Gender]]="M","Male",IF( orders[[#This Row],[Customer Gender]]="F","Female",IF( orders[[#This Row],[Customer Gender]]="O","Other", "Unknown")))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3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>
        <f>IF(orders[[#This Row],[Customer Gender]]="M","Male",IF( orders[[#This Row],[Customer Gender]]="F","Female",IF( orders[[#This Row],[Customer Gender]]="O","Other", "Unknown")))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3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>
        <f>IF(orders[[#This Row],[Customer Gender]]="M","Male",IF( orders[[#This Row],[Customer Gender]]="F","Female",IF( orders[[#This Row],[Customer Gender]]="O","Other", "Unknown")))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3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>
        <f>IF(orders[[#This Row],[Customer Gender]]="M","Male",IF( orders[[#This Row],[Customer Gender]]="F","Female",IF( orders[[#This Row],[Customer Gender]]="O","Other", "Unknown")))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3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>
        <f>IF(orders[[#This Row],[Customer Gender]]="M","Male",IF( orders[[#This Row],[Customer Gender]]="F","Female",IF( orders[[#This Row],[Customer Gender]]="O","Other", "Unknown")))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3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>
        <f>IF(orders[[#This Row],[Customer Gender]]="M","Male",IF( orders[[#This Row],[Customer Gender]]="F","Female",IF( orders[[#This Row],[Customer Gender]]="O","Other", "Unknown")))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3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>
        <f>IF(orders[[#This Row],[Customer Gender]]="M","Male",IF( orders[[#This Row],[Customer Gender]]="F","Female",IF( orders[[#This Row],[Customer Gender]]="O","Other", "Unknown")))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3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>
        <f>IF(orders[[#This Row],[Customer Gender]]="M","Male",IF( orders[[#This Row],[Customer Gender]]="F","Female",IF( orders[[#This Row],[Customer Gender]]="O","Other", "Unknown")))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3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>
        <f>IF(orders[[#This Row],[Customer Gender]]="M","Male",IF( orders[[#This Row],[Customer Gender]]="F","Female",IF( orders[[#This Row],[Customer Gender]]="O","Other", "Unknown")))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3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>
        <f>IF(orders[[#This Row],[Customer Gender]]="M","Male",IF( orders[[#This Row],[Customer Gender]]="F","Female",IF( orders[[#This Row],[Customer Gender]]="O","Other", "Unknown")))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3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>
        <f>IF(orders[[#This Row],[Customer Gender]]="M","Male",IF( orders[[#This Row],[Customer Gender]]="F","Female",IF( orders[[#This Row],[Customer Gender]]="O","Other", "Unknown")))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3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>
        <f>IF(orders[[#This Row],[Customer Gender]]="M","Male",IF( orders[[#This Row],[Customer Gender]]="F","Female",IF( orders[[#This Row],[Customer Gender]]="O","Other", "Unknown")))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3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>
        <f>IF(orders[[#This Row],[Customer Gender]]="M","Male",IF( orders[[#This Row],[Customer Gender]]="F","Female",IF( orders[[#This Row],[Customer Gender]]="O","Other", "Unknown")))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3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>
        <f>IF(orders[[#This Row],[Customer Gender]]="M","Male",IF( orders[[#This Row],[Customer Gender]]="F","Female",IF( orders[[#This Row],[Customer Gender]]="O","Other", "Unknown")))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3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>
        <f>IF(orders[[#This Row],[Customer Gender]]="M","Male",IF( orders[[#This Row],[Customer Gender]]="F","Female",IF( orders[[#This Row],[Customer Gender]]="O","Other", "Unknown")))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3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>
        <f>IF(orders[[#This Row],[Customer Gender]]="M","Male",IF( orders[[#This Row],[Customer Gender]]="F","Female",IF( orders[[#This Row],[Customer Gender]]="O","Other", "Unknown")))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3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>
        <f>IF(orders[[#This Row],[Customer Gender]]="M","Male",IF( orders[[#This Row],[Customer Gender]]="F","Female",IF( orders[[#This Row],[Customer Gender]]="O","Other", "Unknown")))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3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>
        <f>IF(orders[[#This Row],[Customer Gender]]="M","Male",IF( orders[[#This Row],[Customer Gender]]="F","Female",IF( orders[[#This Row],[Customer Gender]]="O","Other", "Unknown")))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3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>
        <f>IF(orders[[#This Row],[Customer Gender]]="M","Male",IF( orders[[#This Row],[Customer Gender]]="F","Female",IF( orders[[#This Row],[Customer Gender]]="O","Other", "Unknown")))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3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>
        <f>IF(orders[[#This Row],[Customer Gender]]="M","Male",IF( orders[[#This Row],[Customer Gender]]="F","Female",IF( orders[[#This Row],[Customer Gender]]="O","Other", "Unknown")))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3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>
        <f>IF(orders[[#This Row],[Customer Gender]]="M","Male",IF( orders[[#This Row],[Customer Gender]]="F","Female",IF( orders[[#This Row],[Customer Gender]]="O","Other", "Unknown")))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3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>
        <f>IF(orders[[#This Row],[Customer Gender]]="M","Male",IF( orders[[#This Row],[Customer Gender]]="F","Female",IF( orders[[#This Row],[Customer Gender]]="O","Other", "Unknown")))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3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>
        <f>IF(orders[[#This Row],[Customer Gender]]="M","Male",IF( orders[[#This Row],[Customer Gender]]="F","Female",IF( orders[[#This Row],[Customer Gender]]="O","Other", "Unknown")))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3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>
        <f>IF(orders[[#This Row],[Customer Gender]]="M","Male",IF( orders[[#This Row],[Customer Gender]]="F","Female",IF( orders[[#This Row],[Customer Gender]]="O","Other", "Unknown")))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3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>
        <f>IF(orders[[#This Row],[Customer Gender]]="M","Male",IF( orders[[#This Row],[Customer Gender]]="F","Female",IF( orders[[#This Row],[Customer Gender]]="O","Other", "Unknown")))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3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>
        <f>IF(orders[[#This Row],[Customer Gender]]="M","Male",IF( orders[[#This Row],[Customer Gender]]="F","Female",IF( orders[[#This Row],[Customer Gender]]="O","Other", "Unknown")))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3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>
        <f>IF(orders[[#This Row],[Customer Gender]]="M","Male",IF( orders[[#This Row],[Customer Gender]]="F","Female",IF( orders[[#This Row],[Customer Gender]]="O","Other", "Unknown")))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3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>
        <f>IF(orders[[#This Row],[Customer Gender]]="M","Male",IF( orders[[#This Row],[Customer Gender]]="F","Female",IF( orders[[#This Row],[Customer Gender]]="O","Other", "Unknown")))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3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>
        <f>IF(orders[[#This Row],[Customer Gender]]="M","Male",IF( orders[[#This Row],[Customer Gender]]="F","Female",IF( orders[[#This Row],[Customer Gender]]="O","Other", "Unknown")))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3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>
        <f>IF(orders[[#This Row],[Customer Gender]]="M","Male",IF( orders[[#This Row],[Customer Gender]]="F","Female",IF( orders[[#This Row],[Customer Gender]]="O","Other", "Unknown")))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3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>
        <f>IF(orders[[#This Row],[Customer Gender]]="M","Male",IF( orders[[#This Row],[Customer Gender]]="F","Female",IF( orders[[#This Row],[Customer Gender]]="O","Other", "Unknown")))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3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>
        <f>IF(orders[[#This Row],[Customer Gender]]="M","Male",IF( orders[[#This Row],[Customer Gender]]="F","Female",IF( orders[[#This Row],[Customer Gender]]="O","Other", "Unknown")))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3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>
        <f>IF(orders[[#This Row],[Customer Gender]]="M","Male",IF( orders[[#This Row],[Customer Gender]]="F","Female",IF( orders[[#This Row],[Customer Gender]]="O","Other", "Unknown")))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3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>
        <f>IF(orders[[#This Row],[Customer Gender]]="M","Male",IF( orders[[#This Row],[Customer Gender]]="F","Female",IF( orders[[#This Row],[Customer Gender]]="O","Other", "Unknown")))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3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>
        <f>IF(orders[[#This Row],[Customer Gender]]="M","Male",IF( orders[[#This Row],[Customer Gender]]="F","Female",IF( orders[[#This Row],[Customer Gender]]="O","Other", "Unknown")))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3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>
        <f>IF(orders[[#This Row],[Customer Gender]]="M","Male",IF( orders[[#This Row],[Customer Gender]]="F","Female",IF( orders[[#This Row],[Customer Gender]]="O","Other", "Unknown")))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3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>
        <f>IF(orders[[#This Row],[Customer Gender]]="M","Male",IF( orders[[#This Row],[Customer Gender]]="F","Female",IF( orders[[#This Row],[Customer Gender]]="O","Other", "Unknown")))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3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>
        <f>IF(orders[[#This Row],[Customer Gender]]="M","Male",IF( orders[[#This Row],[Customer Gender]]="F","Female",IF( orders[[#This Row],[Customer Gender]]="O","Other", "Unknown")))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3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>
        <f>IF(orders[[#This Row],[Customer Gender]]="M","Male",IF( orders[[#This Row],[Customer Gender]]="F","Female",IF( orders[[#This Row],[Customer Gender]]="O","Other", "Unknown")))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3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>
        <f>IF(orders[[#This Row],[Customer Gender]]="M","Male",IF( orders[[#This Row],[Customer Gender]]="F","Female",IF( orders[[#This Row],[Customer Gender]]="O","Other", "Unknown")))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3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>
        <f>IF(orders[[#This Row],[Customer Gender]]="M","Male",IF( orders[[#This Row],[Customer Gender]]="F","Female",IF( orders[[#This Row],[Customer Gender]]="O","Other", "Unknown")))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3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>
        <f>IF(orders[[#This Row],[Customer Gender]]="M","Male",IF( orders[[#This Row],[Customer Gender]]="F","Female",IF( orders[[#This Row],[Customer Gender]]="O","Other", "Unknown")))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3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>
        <f>IF(orders[[#This Row],[Customer Gender]]="M","Male",IF( orders[[#This Row],[Customer Gender]]="F","Female",IF( orders[[#This Row],[Customer Gender]]="O","Other", "Unknown")))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3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>
        <f>IF(orders[[#This Row],[Customer Gender]]="M","Male",IF( orders[[#This Row],[Customer Gender]]="F","Female",IF( orders[[#This Row],[Customer Gender]]="O","Other", "Unknown")))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3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>
        <f>IF(orders[[#This Row],[Customer Gender]]="M","Male",IF( orders[[#This Row],[Customer Gender]]="F","Female",IF( orders[[#This Row],[Customer Gender]]="O","Other", "Unknown")))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3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>
        <f>IF(orders[[#This Row],[Customer Gender]]="M","Male",IF( orders[[#This Row],[Customer Gender]]="F","Female",IF( orders[[#This Row],[Customer Gender]]="O","Other", "Unknown")))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3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>
        <f>IF(orders[[#This Row],[Customer Gender]]="M","Male",IF( orders[[#This Row],[Customer Gender]]="F","Female",IF( orders[[#This Row],[Customer Gender]]="O","Other", "Unknown")))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3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>
        <f>IF(orders[[#This Row],[Customer Gender]]="M","Male",IF( orders[[#This Row],[Customer Gender]]="F","Female",IF( orders[[#This Row],[Customer Gender]]="O","Other", "Unknown")))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3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>
        <f>IF(orders[[#This Row],[Customer Gender]]="M","Male",IF( orders[[#This Row],[Customer Gender]]="F","Female",IF( orders[[#This Row],[Customer Gender]]="O","Other", "Unknown")))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3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>
        <f>IF(orders[[#This Row],[Customer Gender]]="M","Male",IF( orders[[#This Row],[Customer Gender]]="F","Female",IF( orders[[#This Row],[Customer Gender]]="O","Other", "Unknown")))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3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>
        <f>IF(orders[[#This Row],[Customer Gender]]="M","Male",IF( orders[[#This Row],[Customer Gender]]="F","Female",IF( orders[[#This Row],[Customer Gender]]="O","Other", "Unknown")))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3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>
        <f>IF(orders[[#This Row],[Customer Gender]]="M","Male",IF( orders[[#This Row],[Customer Gender]]="F","Female",IF( orders[[#This Row],[Customer Gender]]="O","Other", "Unknown")))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3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>
        <f>IF(orders[[#This Row],[Customer Gender]]="M","Male",IF( orders[[#This Row],[Customer Gender]]="F","Female",IF( orders[[#This Row],[Customer Gender]]="O","Other", "Unknown")))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3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>
        <f>IF(orders[[#This Row],[Customer Gender]]="M","Male",IF( orders[[#This Row],[Customer Gender]]="F","Female",IF( orders[[#This Row],[Customer Gender]]="O","Other", "Unknown")))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3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>
        <f>IF(orders[[#This Row],[Customer Gender]]="M","Male",IF( orders[[#This Row],[Customer Gender]]="F","Female",IF( orders[[#This Row],[Customer Gender]]="O","Other", "Unknown")))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3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>
        <f>IF(orders[[#This Row],[Customer Gender]]="M","Male",IF( orders[[#This Row],[Customer Gender]]="F","Female",IF( orders[[#This Row],[Customer Gender]]="O","Other", "Unknown")))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3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>
        <f>IF(orders[[#This Row],[Customer Gender]]="M","Male",IF( orders[[#This Row],[Customer Gender]]="F","Female",IF( orders[[#This Row],[Customer Gender]]="O","Other", "Unknown")))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3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>
        <f>IF(orders[[#This Row],[Customer Gender]]="M","Male",IF( orders[[#This Row],[Customer Gender]]="F","Female",IF( orders[[#This Row],[Customer Gender]]="O","Other", "Unknown")))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3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>
        <f>IF(orders[[#This Row],[Customer Gender]]="M","Male",IF( orders[[#This Row],[Customer Gender]]="F","Female",IF( orders[[#This Row],[Customer Gender]]="O","Other", "Unknown")))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3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>
        <f>IF(orders[[#This Row],[Customer Gender]]="M","Male",IF( orders[[#This Row],[Customer Gender]]="F","Female",IF( orders[[#This Row],[Customer Gender]]="O","Other", "Unknown")))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3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>
        <f>IF(orders[[#This Row],[Customer Gender]]="M","Male",IF( orders[[#This Row],[Customer Gender]]="F","Female",IF( orders[[#This Row],[Customer Gender]]="O","Other", "Unknown")))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3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>
        <f>IF(orders[[#This Row],[Customer Gender]]="M","Male",IF( orders[[#This Row],[Customer Gender]]="F","Female",IF( orders[[#This Row],[Customer Gender]]="O","Other", "Unknown")))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3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>
        <f>IF(orders[[#This Row],[Customer Gender]]="M","Male",IF( orders[[#This Row],[Customer Gender]]="F","Female",IF( orders[[#This Row],[Customer Gender]]="O","Other", "Unknown")))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3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>
        <f>IF(orders[[#This Row],[Customer Gender]]="M","Male",IF( orders[[#This Row],[Customer Gender]]="F","Female",IF( orders[[#This Row],[Customer Gender]]="O","Other", "Unknown")))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3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>
        <f>IF(orders[[#This Row],[Customer Gender]]="M","Male",IF( orders[[#This Row],[Customer Gender]]="F","Female",IF( orders[[#This Row],[Customer Gender]]="O","Other", "Unknown")))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3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>
        <f>IF(orders[[#This Row],[Customer Gender]]="M","Male",IF( orders[[#This Row],[Customer Gender]]="F","Female",IF( orders[[#This Row],[Customer Gender]]="O","Other", "Unknown")))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3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>
        <f>IF(orders[[#This Row],[Customer Gender]]="M","Male",IF( orders[[#This Row],[Customer Gender]]="F","Female",IF( orders[[#This Row],[Customer Gender]]="O","Other", "Unknown")))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3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>
        <f>IF(orders[[#This Row],[Customer Gender]]="M","Male",IF( orders[[#This Row],[Customer Gender]]="F","Female",IF( orders[[#This Row],[Customer Gender]]="O","Other", "Unknown")))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3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>
        <f>IF(orders[[#This Row],[Customer Gender]]="M","Male",IF( orders[[#This Row],[Customer Gender]]="F","Female",IF( orders[[#This Row],[Customer Gender]]="O","Other", "Unknown")))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3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>
        <f>IF(orders[[#This Row],[Customer Gender]]="M","Male",IF( orders[[#This Row],[Customer Gender]]="F","Female",IF( orders[[#This Row],[Customer Gender]]="O","Other", "Unknown")))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3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>
        <f>IF(orders[[#This Row],[Customer Gender]]="M","Male",IF( orders[[#This Row],[Customer Gender]]="F","Female",IF( orders[[#This Row],[Customer Gender]]="O","Other", "Unknown")))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3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>
        <f>IF(orders[[#This Row],[Customer Gender]]="M","Male",IF( orders[[#This Row],[Customer Gender]]="F","Female",IF( orders[[#This Row],[Customer Gender]]="O","Other", "Unknown")))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3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>
        <f>IF(orders[[#This Row],[Customer Gender]]="M","Male",IF( orders[[#This Row],[Customer Gender]]="F","Female",IF( orders[[#This Row],[Customer Gender]]="O","Other", "Unknown")))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3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>
        <f>IF(orders[[#This Row],[Customer Gender]]="M","Male",IF( orders[[#This Row],[Customer Gender]]="F","Female",IF( orders[[#This Row],[Customer Gender]]="O","Other", "Unknown")))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3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>
        <f>IF(orders[[#This Row],[Customer Gender]]="M","Male",IF( orders[[#This Row],[Customer Gender]]="F","Female",IF( orders[[#This Row],[Customer Gender]]="O","Other", "Unknown")))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3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>
        <f>IF(orders[[#This Row],[Customer Gender]]="M","Male",IF( orders[[#This Row],[Customer Gender]]="F","Female",IF( orders[[#This Row],[Customer Gender]]="O","Other", "Unknown")))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3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>
        <f>IF(orders[[#This Row],[Customer Gender]]="M","Male",IF( orders[[#This Row],[Customer Gender]]="F","Female",IF( orders[[#This Row],[Customer Gender]]="O","Other", "Unknown")))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3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>
        <f>IF(orders[[#This Row],[Customer Gender]]="M","Male",IF( orders[[#This Row],[Customer Gender]]="F","Female",IF( orders[[#This Row],[Customer Gender]]="O","Other", "Unknown")))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3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>
        <f>IF(orders[[#This Row],[Customer Gender]]="M","Male",IF( orders[[#This Row],[Customer Gender]]="F","Female",IF( orders[[#This Row],[Customer Gender]]="O","Other", "Unknown")))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3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>
        <f>IF(orders[[#This Row],[Customer Gender]]="M","Male",IF( orders[[#This Row],[Customer Gender]]="F","Female",IF( orders[[#This Row],[Customer Gender]]="O","Other", "Unknown")))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3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>
        <f>IF(orders[[#This Row],[Customer Gender]]="M","Male",IF( orders[[#This Row],[Customer Gender]]="F","Female",IF( orders[[#This Row],[Customer Gender]]="O","Other", "Unknown")))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3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>
        <f>IF(orders[[#This Row],[Customer Gender]]="M","Male",IF( orders[[#This Row],[Customer Gender]]="F","Female",IF( orders[[#This Row],[Customer Gender]]="O","Other", "Unknown")))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3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>
        <f>IF(orders[[#This Row],[Customer Gender]]="M","Male",IF( orders[[#This Row],[Customer Gender]]="F","Female",IF( orders[[#This Row],[Customer Gender]]="O","Other", "Unknown")))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3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>
        <f>IF(orders[[#This Row],[Customer Gender]]="M","Male",IF( orders[[#This Row],[Customer Gender]]="F","Female",IF( orders[[#This Row],[Customer Gender]]="O","Other", "Unknown")))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3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>
        <f>IF(orders[[#This Row],[Customer Gender]]="M","Male",IF( orders[[#This Row],[Customer Gender]]="F","Female",IF( orders[[#This Row],[Customer Gender]]="O","Other", "Unknown")))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3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>
        <f>IF(orders[[#This Row],[Customer Gender]]="M","Male",IF( orders[[#This Row],[Customer Gender]]="F","Female",IF( orders[[#This Row],[Customer Gender]]="O","Other", "Unknown")))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3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>
        <f>IF(orders[[#This Row],[Customer Gender]]="M","Male",IF( orders[[#This Row],[Customer Gender]]="F","Female",IF( orders[[#This Row],[Customer Gender]]="O","Other", "Unknown")))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3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>
        <f>IF(orders[[#This Row],[Customer Gender]]="M","Male",IF( orders[[#This Row],[Customer Gender]]="F","Female",IF( orders[[#This Row],[Customer Gender]]="O","Other", "Unknown")))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3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>
        <f>IF(orders[[#This Row],[Customer Gender]]="M","Male",IF( orders[[#This Row],[Customer Gender]]="F","Female",IF( orders[[#This Row],[Customer Gender]]="O","Other", "Unknown")))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3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>
        <f>IF(orders[[#This Row],[Customer Gender]]="M","Male",IF( orders[[#This Row],[Customer Gender]]="F","Female",IF( orders[[#This Row],[Customer Gender]]="O","Other", "Unknown")))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3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>
        <f>IF(orders[[#This Row],[Customer Gender]]="M","Male",IF( orders[[#This Row],[Customer Gender]]="F","Female",IF( orders[[#This Row],[Customer Gender]]="O","Other", "Unknown")))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3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>
        <f>IF(orders[[#This Row],[Customer Gender]]="M","Male",IF( orders[[#This Row],[Customer Gender]]="F","Female",IF( orders[[#This Row],[Customer Gender]]="O","Other", "Unknown")))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3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>
        <f>IF(orders[[#This Row],[Customer Gender]]="M","Male",IF( orders[[#This Row],[Customer Gender]]="F","Female",IF( orders[[#This Row],[Customer Gender]]="O","Other", "Unknown")))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3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>
        <f>IF(orders[[#This Row],[Customer Gender]]="M","Male",IF( orders[[#This Row],[Customer Gender]]="F","Female",IF( orders[[#This Row],[Customer Gender]]="O","Other", "Unknown")))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3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>
        <f>IF(orders[[#This Row],[Customer Gender]]="M","Male",IF( orders[[#This Row],[Customer Gender]]="F","Female",IF( orders[[#This Row],[Customer Gender]]="O","Other", "Unknown")))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3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>
        <f>IF(orders[[#This Row],[Customer Gender]]="M","Male",IF( orders[[#This Row],[Customer Gender]]="F","Female",IF( orders[[#This Row],[Customer Gender]]="O","Other", "Unknown")))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3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>
        <f>IF(orders[[#This Row],[Customer Gender]]="M","Male",IF( orders[[#This Row],[Customer Gender]]="F","Female",IF( orders[[#This Row],[Customer Gender]]="O","Other", "Unknown")))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3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>
        <f>IF(orders[[#This Row],[Customer Gender]]="M","Male",IF( orders[[#This Row],[Customer Gender]]="F","Female",IF( orders[[#This Row],[Customer Gender]]="O","Other", "Unknown")))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3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>
        <f>IF(orders[[#This Row],[Customer Gender]]="M","Male",IF( orders[[#This Row],[Customer Gender]]="F","Female",IF( orders[[#This Row],[Customer Gender]]="O","Other", "Unknown")))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3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>
        <f>IF(orders[[#This Row],[Customer Gender]]="M","Male",IF( orders[[#This Row],[Customer Gender]]="F","Female",IF( orders[[#This Row],[Customer Gender]]="O","Other", "Unknown")))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3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>
        <f>IF(orders[[#This Row],[Customer Gender]]="M","Male",IF( orders[[#This Row],[Customer Gender]]="F","Female",IF( orders[[#This Row],[Customer Gender]]="O","Other", "Unknown")))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3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>
        <f>IF(orders[[#This Row],[Customer Gender]]="M","Male",IF( orders[[#This Row],[Customer Gender]]="F","Female",IF( orders[[#This Row],[Customer Gender]]="O","Other", "Unknown")))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3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>
        <f>IF(orders[[#This Row],[Customer Gender]]="M","Male",IF( orders[[#This Row],[Customer Gender]]="F","Female",IF( orders[[#This Row],[Customer Gender]]="O","Other", "Unknown")))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3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>
        <f>IF(orders[[#This Row],[Customer Gender]]="M","Male",IF( orders[[#This Row],[Customer Gender]]="F","Female",IF( orders[[#This Row],[Customer Gender]]="O","Other", "Unknown")))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3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>
        <f>IF(orders[[#This Row],[Customer Gender]]="M","Male",IF( orders[[#This Row],[Customer Gender]]="F","Female",IF( orders[[#This Row],[Customer Gender]]="O","Other", "Unknown")))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3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>
        <f>IF(orders[[#This Row],[Customer Gender]]="M","Male",IF( orders[[#This Row],[Customer Gender]]="F","Female",IF( orders[[#This Row],[Customer Gender]]="O","Other", "Unknown")))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3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>
        <f>IF(orders[[#This Row],[Customer Gender]]="M","Male",IF( orders[[#This Row],[Customer Gender]]="F","Female",IF( orders[[#This Row],[Customer Gender]]="O","Other", "Unknown")))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3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>
        <f>IF(orders[[#This Row],[Customer Gender]]="M","Male",IF( orders[[#This Row],[Customer Gender]]="F","Female",IF( orders[[#This Row],[Customer Gender]]="O","Other", "Unknown")))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3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>
        <f>IF(orders[[#This Row],[Customer Gender]]="M","Male",IF( orders[[#This Row],[Customer Gender]]="F","Female",IF( orders[[#This Row],[Customer Gender]]="O","Other", "Unknown")))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3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>
        <f>IF(orders[[#This Row],[Customer Gender]]="M","Male",IF( orders[[#This Row],[Customer Gender]]="F","Female",IF( orders[[#This Row],[Customer Gender]]="O","Other", "Unknown")))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3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>
        <f>IF(orders[[#This Row],[Customer Gender]]="M","Male",IF( orders[[#This Row],[Customer Gender]]="F","Female",IF( orders[[#This Row],[Customer Gender]]="O","Other", "Unknown")))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3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>
        <f>IF(orders[[#This Row],[Customer Gender]]="M","Male",IF( orders[[#This Row],[Customer Gender]]="F","Female",IF( orders[[#This Row],[Customer Gender]]="O","Other", "Unknown")))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3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>
        <f>IF(orders[[#This Row],[Customer Gender]]="M","Male",IF( orders[[#This Row],[Customer Gender]]="F","Female",IF( orders[[#This Row],[Customer Gender]]="O","Other", "Unknown")))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3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>
        <f>IF(orders[[#This Row],[Customer Gender]]="M","Male",IF( orders[[#This Row],[Customer Gender]]="F","Female",IF( orders[[#This Row],[Customer Gender]]="O","Other", "Unknown")))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3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>
        <f>IF(orders[[#This Row],[Customer Gender]]="M","Male",IF( orders[[#This Row],[Customer Gender]]="F","Female",IF( orders[[#This Row],[Customer Gender]]="O","Other", "Unknown")))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3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>
        <f>IF(orders[[#This Row],[Customer Gender]]="M","Male",IF( orders[[#This Row],[Customer Gender]]="F","Female",IF( orders[[#This Row],[Customer Gender]]="O","Other", "Unknown")))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3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>
        <f>IF(orders[[#This Row],[Customer Gender]]="M","Male",IF( orders[[#This Row],[Customer Gender]]="F","Female",IF( orders[[#This Row],[Customer Gender]]="O","Other", "Unknown")))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3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>
        <f>IF(orders[[#This Row],[Customer Gender]]="M","Male",IF( orders[[#This Row],[Customer Gender]]="F","Female",IF( orders[[#This Row],[Customer Gender]]="O","Other", "Unknown")))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3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>
        <f>IF(orders[[#This Row],[Customer Gender]]="M","Male",IF( orders[[#This Row],[Customer Gender]]="F","Female",IF( orders[[#This Row],[Customer Gender]]="O","Other", "Unknown")))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3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>
        <f>IF(orders[[#This Row],[Customer Gender]]="M","Male",IF( orders[[#This Row],[Customer Gender]]="F","Female",IF( orders[[#This Row],[Customer Gender]]="O","Other", "Unknown")))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3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>
        <f>IF(orders[[#This Row],[Customer Gender]]="M","Male",IF( orders[[#This Row],[Customer Gender]]="F","Female",IF( orders[[#This Row],[Customer Gender]]="O","Other", "Unknown")))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3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>
        <f>IF(orders[[#This Row],[Customer Gender]]="M","Male",IF( orders[[#This Row],[Customer Gender]]="F","Female",IF( orders[[#This Row],[Customer Gender]]="O","Other", "Unknown")))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3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>
        <f>IF(orders[[#This Row],[Customer Gender]]="M","Male",IF( orders[[#This Row],[Customer Gender]]="F","Female",IF( orders[[#This Row],[Customer Gender]]="O","Other", "Unknown")))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3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>
        <f>IF(orders[[#This Row],[Customer Gender]]="M","Male",IF( orders[[#This Row],[Customer Gender]]="F","Female",IF( orders[[#This Row],[Customer Gender]]="O","Other", "Unknown")))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3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>
        <f>IF(orders[[#This Row],[Customer Gender]]="M","Male",IF( orders[[#This Row],[Customer Gender]]="F","Female",IF( orders[[#This Row],[Customer Gender]]="O","Other", "Unknown")))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3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>
        <f>IF(orders[[#This Row],[Customer Gender]]="M","Male",IF( orders[[#This Row],[Customer Gender]]="F","Female",IF( orders[[#This Row],[Customer Gender]]="O","Other", "Unknown")))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3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>
        <f>IF(orders[[#This Row],[Customer Gender]]="M","Male",IF( orders[[#This Row],[Customer Gender]]="F","Female",IF( orders[[#This Row],[Customer Gender]]="O","Other", "Unknown")))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3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>
        <f>IF(orders[[#This Row],[Customer Gender]]="M","Male",IF( orders[[#This Row],[Customer Gender]]="F","Female",IF( orders[[#This Row],[Customer Gender]]="O","Other", "Unknown")))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3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>
        <f>IF(orders[[#This Row],[Customer Gender]]="M","Male",IF( orders[[#This Row],[Customer Gender]]="F","Female",IF( orders[[#This Row],[Customer Gender]]="O","Other", "Unknown")))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3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>
        <f>IF(orders[[#This Row],[Customer Gender]]="M","Male",IF( orders[[#This Row],[Customer Gender]]="F","Female",IF( orders[[#This Row],[Customer Gender]]="O","Other", "Unknown")))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3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>
        <f>IF(orders[[#This Row],[Customer Gender]]="M","Male",IF( orders[[#This Row],[Customer Gender]]="F","Female",IF( orders[[#This Row],[Customer Gender]]="O","Other", "Unknown")))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3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>
        <f>IF(orders[[#This Row],[Customer Gender]]="M","Male",IF( orders[[#This Row],[Customer Gender]]="F","Female",IF( orders[[#This Row],[Customer Gender]]="O","Other", "Unknown")))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3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>
        <f>IF(orders[[#This Row],[Customer Gender]]="M","Male",IF( orders[[#This Row],[Customer Gender]]="F","Female",IF( orders[[#This Row],[Customer Gender]]="O","Other", "Unknown")))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3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>
        <f>IF(orders[[#This Row],[Customer Gender]]="M","Male",IF( orders[[#This Row],[Customer Gender]]="F","Female",IF( orders[[#This Row],[Customer Gender]]="O","Other", "Unknown")))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3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>
        <f>IF(orders[[#This Row],[Customer Gender]]="M","Male",IF( orders[[#This Row],[Customer Gender]]="F","Female",IF( orders[[#This Row],[Customer Gender]]="O","Other", "Unknown")))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3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>
        <f>IF(orders[[#This Row],[Customer Gender]]="M","Male",IF( orders[[#This Row],[Customer Gender]]="F","Female",IF( orders[[#This Row],[Customer Gender]]="O","Other", "Unknown")))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3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>
        <f>IF(orders[[#This Row],[Customer Gender]]="M","Male",IF( orders[[#This Row],[Customer Gender]]="F","Female",IF( orders[[#This Row],[Customer Gender]]="O","Other", "Unknown")))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3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>
        <f>IF(orders[[#This Row],[Customer Gender]]="M","Male",IF( orders[[#This Row],[Customer Gender]]="F","Female",IF( orders[[#This Row],[Customer Gender]]="O","Other", "Unknown")))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3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>
        <f>IF(orders[[#This Row],[Customer Gender]]="M","Male",IF( orders[[#This Row],[Customer Gender]]="F","Female",IF( orders[[#This Row],[Customer Gender]]="O","Other", "Unknown")))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3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>
        <f>IF(orders[[#This Row],[Customer Gender]]="M","Male",IF( orders[[#This Row],[Customer Gender]]="F","Female",IF( orders[[#This Row],[Customer Gender]]="O","Other", "Unknown")))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3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>
        <f>IF(orders[[#This Row],[Customer Gender]]="M","Male",IF( orders[[#This Row],[Customer Gender]]="F","Female",IF( orders[[#This Row],[Customer Gender]]="O","Other", "Unknown")))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3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>
        <f>IF(orders[[#This Row],[Customer Gender]]="M","Male",IF( orders[[#This Row],[Customer Gender]]="F","Female",IF( orders[[#This Row],[Customer Gender]]="O","Other", "Unknown")))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3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>
        <f>IF(orders[[#This Row],[Customer Gender]]="M","Male",IF( orders[[#This Row],[Customer Gender]]="F","Female",IF( orders[[#This Row],[Customer Gender]]="O","Other", "Unknown")))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3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>
        <f>IF(orders[[#This Row],[Customer Gender]]="M","Male",IF( orders[[#This Row],[Customer Gender]]="F","Female",IF( orders[[#This Row],[Customer Gender]]="O","Other", "Unknown")))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3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>
        <f>IF(orders[[#This Row],[Customer Gender]]="M","Male",IF( orders[[#This Row],[Customer Gender]]="F","Female",IF( orders[[#This Row],[Customer Gender]]="O","Other", "Unknown")))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3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>
        <f>IF(orders[[#This Row],[Customer Gender]]="M","Male",IF( orders[[#This Row],[Customer Gender]]="F","Female",IF( orders[[#This Row],[Customer Gender]]="O","Other", "Unknown")))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3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>
        <f>IF(orders[[#This Row],[Customer Gender]]="M","Male",IF( orders[[#This Row],[Customer Gender]]="F","Female",IF( orders[[#This Row],[Customer Gender]]="O","Other", "Unknown")))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3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>
        <f>IF(orders[[#This Row],[Customer Gender]]="M","Male",IF( orders[[#This Row],[Customer Gender]]="F","Female",IF( orders[[#This Row],[Customer Gender]]="O","Other", "Unknown")))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3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>
        <f>IF(orders[[#This Row],[Customer Gender]]="M","Male",IF( orders[[#This Row],[Customer Gender]]="F","Female",IF( orders[[#This Row],[Customer Gender]]="O","Other", "Unknown")))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3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>
        <f>IF(orders[[#This Row],[Customer Gender]]="M","Male",IF( orders[[#This Row],[Customer Gender]]="F","Female",IF( orders[[#This Row],[Customer Gender]]="O","Other", "Unknown")))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3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>
        <f>IF(orders[[#This Row],[Customer Gender]]="M","Male",IF( orders[[#This Row],[Customer Gender]]="F","Female",IF( orders[[#This Row],[Customer Gender]]="O","Other", "Unknown")))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3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>
        <f>IF(orders[[#This Row],[Customer Gender]]="M","Male",IF( orders[[#This Row],[Customer Gender]]="F","Female",IF( orders[[#This Row],[Customer Gender]]="O","Other", "Unknown")))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3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>
        <f>IF(orders[[#This Row],[Customer Gender]]="M","Male",IF( orders[[#This Row],[Customer Gender]]="F","Female",IF( orders[[#This Row],[Customer Gender]]="O","Other", "Unknown")))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3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>
        <f>IF(orders[[#This Row],[Customer Gender]]="M","Male",IF( orders[[#This Row],[Customer Gender]]="F","Female",IF( orders[[#This Row],[Customer Gender]]="O","Other", "Unknown")))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3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>
        <f>IF(orders[[#This Row],[Customer Gender]]="M","Male",IF( orders[[#This Row],[Customer Gender]]="F","Female",IF( orders[[#This Row],[Customer Gender]]="O","Other", "Unknown")))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3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>
        <f>IF(orders[[#This Row],[Customer Gender]]="M","Male",IF( orders[[#This Row],[Customer Gender]]="F","Female",IF( orders[[#This Row],[Customer Gender]]="O","Other", "Unknown")))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3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>
        <f>IF(orders[[#This Row],[Customer Gender]]="M","Male",IF( orders[[#This Row],[Customer Gender]]="F","Female",IF( orders[[#This Row],[Customer Gender]]="O","Other", "Unknown")))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3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>
        <f>IF(orders[[#This Row],[Customer Gender]]="M","Male",IF( orders[[#This Row],[Customer Gender]]="F","Female",IF( orders[[#This Row],[Customer Gender]]="O","Other", "Unknown")))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3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>
        <f>IF(orders[[#This Row],[Customer Gender]]="M","Male",IF( orders[[#This Row],[Customer Gender]]="F","Female",IF( orders[[#This Row],[Customer Gender]]="O","Other", "Unknown")))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3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>
        <f>IF(orders[[#This Row],[Customer Gender]]="M","Male",IF( orders[[#This Row],[Customer Gender]]="F","Female",IF( orders[[#This Row],[Customer Gender]]="O","Other", "Unknown")))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3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>
        <f>IF(orders[[#This Row],[Customer Gender]]="M","Male",IF( orders[[#This Row],[Customer Gender]]="F","Female",IF( orders[[#This Row],[Customer Gender]]="O","Other", "Unknown")))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3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>
        <f>IF(orders[[#This Row],[Customer Gender]]="M","Male",IF( orders[[#This Row],[Customer Gender]]="F","Female",IF( orders[[#This Row],[Customer Gender]]="O","Other", "Unknown")))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3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>
        <f>IF(orders[[#This Row],[Customer Gender]]="M","Male",IF( orders[[#This Row],[Customer Gender]]="F","Female",IF( orders[[#This Row],[Customer Gender]]="O","Other", "Unknown")))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3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>
        <f>IF(orders[[#This Row],[Customer Gender]]="M","Male",IF( orders[[#This Row],[Customer Gender]]="F","Female",IF( orders[[#This Row],[Customer Gender]]="O","Other", "Unknown")))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3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>
        <f>IF(orders[[#This Row],[Customer Gender]]="M","Male",IF( orders[[#This Row],[Customer Gender]]="F","Female",IF( orders[[#This Row],[Customer Gender]]="O","Other", "Unknown")))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3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>
        <f>IF(orders[[#This Row],[Customer Gender]]="M","Male",IF( orders[[#This Row],[Customer Gender]]="F","Female",IF( orders[[#This Row],[Customer Gender]]="O","Other", "Unknown")))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3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>
        <f>IF(orders[[#This Row],[Customer Gender]]="M","Male",IF( orders[[#This Row],[Customer Gender]]="F","Female",IF( orders[[#This Row],[Customer Gender]]="O","Other", "Unknown")))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3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>
        <f>IF(orders[[#This Row],[Customer Gender]]="M","Male",IF( orders[[#This Row],[Customer Gender]]="F","Female",IF( orders[[#This Row],[Customer Gender]]="O","Other", "Unknown")))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3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>
        <f>IF(orders[[#This Row],[Customer Gender]]="M","Male",IF( orders[[#This Row],[Customer Gender]]="F","Female",IF( orders[[#This Row],[Customer Gender]]="O","Other", "Unknown")))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3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>
        <f>IF(orders[[#This Row],[Customer Gender]]="M","Male",IF( orders[[#This Row],[Customer Gender]]="F","Female",IF( orders[[#This Row],[Customer Gender]]="O","Other", "Unknown")))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3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>
        <f>IF(orders[[#This Row],[Customer Gender]]="M","Male",IF( orders[[#This Row],[Customer Gender]]="F","Female",IF( orders[[#This Row],[Customer Gender]]="O","Other", "Unknown")))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3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>
        <f>IF(orders[[#This Row],[Customer Gender]]="M","Male",IF( orders[[#This Row],[Customer Gender]]="F","Female",IF( orders[[#This Row],[Customer Gender]]="O","Other", "Unknown")))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3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>
        <f>IF(orders[[#This Row],[Customer Gender]]="M","Male",IF( orders[[#This Row],[Customer Gender]]="F","Female",IF( orders[[#This Row],[Customer Gender]]="O","Other", "Unknown")))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3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>
        <f>IF(orders[[#This Row],[Customer Gender]]="M","Male",IF( orders[[#This Row],[Customer Gender]]="F","Female",IF( orders[[#This Row],[Customer Gender]]="O","Other", "Unknown")))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3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>
        <f>IF(orders[[#This Row],[Customer Gender]]="M","Male",IF( orders[[#This Row],[Customer Gender]]="F","Female",IF( orders[[#This Row],[Customer Gender]]="O","Other", "Unknown")))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3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>
        <f>IF(orders[[#This Row],[Customer Gender]]="M","Male",IF( orders[[#This Row],[Customer Gender]]="F","Female",IF( orders[[#This Row],[Customer Gender]]="O","Other", "Unknown")))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3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>
        <f>IF(orders[[#This Row],[Customer Gender]]="M","Male",IF( orders[[#This Row],[Customer Gender]]="F","Female",IF( orders[[#This Row],[Customer Gender]]="O","Other", "Unknown")))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3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>
        <f>IF(orders[[#This Row],[Customer Gender]]="M","Male",IF( orders[[#This Row],[Customer Gender]]="F","Female",IF( orders[[#This Row],[Customer Gender]]="O","Other", "Unknown")))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3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>
        <f>IF(orders[[#This Row],[Customer Gender]]="M","Male",IF( orders[[#This Row],[Customer Gender]]="F","Female",IF( orders[[#This Row],[Customer Gender]]="O","Other", "Unknown")))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3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>
        <f>IF(orders[[#This Row],[Customer Gender]]="M","Male",IF( orders[[#This Row],[Customer Gender]]="F","Female",IF( orders[[#This Row],[Customer Gender]]="O","Other", "Unknown")))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3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>
        <f>IF(orders[[#This Row],[Customer Gender]]="M","Male",IF( orders[[#This Row],[Customer Gender]]="F","Female",IF( orders[[#This Row],[Customer Gender]]="O","Other", "Unknown")))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3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>
        <f>IF(orders[[#This Row],[Customer Gender]]="M","Male",IF( orders[[#This Row],[Customer Gender]]="F","Female",IF( orders[[#This Row],[Customer Gender]]="O","Other", "Unknown")))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3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>
        <f>IF(orders[[#This Row],[Customer Gender]]="M","Male",IF( orders[[#This Row],[Customer Gender]]="F","Female",IF( orders[[#This Row],[Customer Gender]]="O","Other", "Unknown")))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3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>
        <f>IF(orders[[#This Row],[Customer Gender]]="M","Male",IF( orders[[#This Row],[Customer Gender]]="F","Female",IF( orders[[#This Row],[Customer Gender]]="O","Other", "Unknown")))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3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>
        <f>IF(orders[[#This Row],[Customer Gender]]="M","Male",IF( orders[[#This Row],[Customer Gender]]="F","Female",IF( orders[[#This Row],[Customer Gender]]="O","Other", "Unknown")))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3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>
        <f>IF(orders[[#This Row],[Customer Gender]]="M","Male",IF( orders[[#This Row],[Customer Gender]]="F","Female",IF( orders[[#This Row],[Customer Gender]]="O","Other", "Unknown")))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3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>
        <f>IF(orders[[#This Row],[Customer Gender]]="M","Male",IF( orders[[#This Row],[Customer Gender]]="F","Female",IF( orders[[#This Row],[Customer Gender]]="O","Other", "Unknown")))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3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>
        <f>IF(orders[[#This Row],[Customer Gender]]="M","Male",IF( orders[[#This Row],[Customer Gender]]="F","Female",IF( orders[[#This Row],[Customer Gender]]="O","Other", "Unknown")))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3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>
        <f>IF(orders[[#This Row],[Customer Gender]]="M","Male",IF( orders[[#This Row],[Customer Gender]]="F","Female",IF( orders[[#This Row],[Customer Gender]]="O","Other", "Unknown")))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3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>
        <f>IF(orders[[#This Row],[Customer Gender]]="M","Male",IF( orders[[#This Row],[Customer Gender]]="F","Female",IF( orders[[#This Row],[Customer Gender]]="O","Other", "Unknown")))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3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>
        <f>IF(orders[[#This Row],[Customer Gender]]="M","Male",IF( orders[[#This Row],[Customer Gender]]="F","Female",IF( orders[[#This Row],[Customer Gender]]="O","Other", "Unknown")))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3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>
        <f>IF(orders[[#This Row],[Customer Gender]]="M","Male",IF( orders[[#This Row],[Customer Gender]]="F","Female",IF( orders[[#This Row],[Customer Gender]]="O","Other", "Unknown")))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3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>
        <f>IF(orders[[#This Row],[Customer Gender]]="M","Male",IF( orders[[#This Row],[Customer Gender]]="F","Female",IF( orders[[#This Row],[Customer Gender]]="O","Other", "Unknown")))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3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>
        <f>IF(orders[[#This Row],[Customer Gender]]="M","Male",IF( orders[[#This Row],[Customer Gender]]="F","Female",IF( orders[[#This Row],[Customer Gender]]="O","Other", "Unknown")))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3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>
        <f>IF(orders[[#This Row],[Customer Gender]]="M","Male",IF( orders[[#This Row],[Customer Gender]]="F","Female",IF( orders[[#This Row],[Customer Gender]]="O","Other", "Unknown")))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3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>
        <f>IF(orders[[#This Row],[Customer Gender]]="M","Male",IF( orders[[#This Row],[Customer Gender]]="F","Female",IF( orders[[#This Row],[Customer Gender]]="O","Other", "Unknown")))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3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>
        <f>IF(orders[[#This Row],[Customer Gender]]="M","Male",IF( orders[[#This Row],[Customer Gender]]="F","Female",IF( orders[[#This Row],[Customer Gender]]="O","Other", "Unknown")))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3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>
        <f>IF(orders[[#This Row],[Customer Gender]]="M","Male",IF( orders[[#This Row],[Customer Gender]]="F","Female",IF( orders[[#This Row],[Customer Gender]]="O","Other", "Unknown")))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3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>
        <f>IF(orders[[#This Row],[Customer Gender]]="M","Male",IF( orders[[#This Row],[Customer Gender]]="F","Female",IF( orders[[#This Row],[Customer Gender]]="O","Other", "Unknown")))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3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>
        <f>IF(orders[[#This Row],[Customer Gender]]="M","Male",IF( orders[[#This Row],[Customer Gender]]="F","Female",IF( orders[[#This Row],[Customer Gender]]="O","Other", "Unknown")))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3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>
        <f>IF(orders[[#This Row],[Customer Gender]]="M","Male",IF( orders[[#This Row],[Customer Gender]]="F","Female",IF( orders[[#This Row],[Customer Gender]]="O","Other", "Unknown")))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3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>
        <f>IF(orders[[#This Row],[Customer Gender]]="M","Male",IF( orders[[#This Row],[Customer Gender]]="F","Female",IF( orders[[#This Row],[Customer Gender]]="O","Other", "Unknown")))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3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>
        <f>IF(orders[[#This Row],[Customer Gender]]="M","Male",IF( orders[[#This Row],[Customer Gender]]="F","Female",IF( orders[[#This Row],[Customer Gender]]="O","Other", "Unknown")))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3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>
        <f>IF(orders[[#This Row],[Customer Gender]]="M","Male",IF( orders[[#This Row],[Customer Gender]]="F","Female",IF( orders[[#This Row],[Customer Gender]]="O","Other", "Unknown")))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3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>
        <f>IF(orders[[#This Row],[Customer Gender]]="M","Male",IF( orders[[#This Row],[Customer Gender]]="F","Female",IF( orders[[#This Row],[Customer Gender]]="O","Other", "Unknown")))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3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>
        <f>IF(orders[[#This Row],[Customer Gender]]="M","Male",IF( orders[[#This Row],[Customer Gender]]="F","Female",IF( orders[[#This Row],[Customer Gender]]="O","Other", "Unknown")))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3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>
        <f>IF(orders[[#This Row],[Customer Gender]]="M","Male",IF( orders[[#This Row],[Customer Gender]]="F","Female",IF( orders[[#This Row],[Customer Gender]]="O","Other", "Unknown")))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3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>
        <f>IF(orders[[#This Row],[Customer Gender]]="M","Male",IF( orders[[#This Row],[Customer Gender]]="F","Female",IF( orders[[#This Row],[Customer Gender]]="O","Other", "Unknown")))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3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>
        <f>IF(orders[[#This Row],[Customer Gender]]="M","Male",IF( orders[[#This Row],[Customer Gender]]="F","Female",IF( orders[[#This Row],[Customer Gender]]="O","Other", "Unknown")))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3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>
        <f>IF(orders[[#This Row],[Customer Gender]]="M","Male",IF( orders[[#This Row],[Customer Gender]]="F","Female",IF( orders[[#This Row],[Customer Gender]]="O","Other", "Unknown")))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3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>
        <f>IF(orders[[#This Row],[Customer Gender]]="M","Male",IF( orders[[#This Row],[Customer Gender]]="F","Female",IF( orders[[#This Row],[Customer Gender]]="O","Other", "Unknown")))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3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>
        <f>IF(orders[[#This Row],[Customer Gender]]="M","Male",IF( orders[[#This Row],[Customer Gender]]="F","Female",IF( orders[[#This Row],[Customer Gender]]="O","Other", "Unknown")))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3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>
        <f>IF(orders[[#This Row],[Customer Gender]]="M","Male",IF( orders[[#This Row],[Customer Gender]]="F","Female",IF( orders[[#This Row],[Customer Gender]]="O","Other", "Unknown")))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3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>
        <f>IF(orders[[#This Row],[Customer Gender]]="M","Male",IF( orders[[#This Row],[Customer Gender]]="F","Female",IF( orders[[#This Row],[Customer Gender]]="O","Other", "Unknown")))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3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>
        <f>IF(orders[[#This Row],[Customer Gender]]="M","Male",IF( orders[[#This Row],[Customer Gender]]="F","Female",IF( orders[[#This Row],[Customer Gender]]="O","Other", "Unknown")))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3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>
        <f>IF(orders[[#This Row],[Customer Gender]]="M","Male",IF( orders[[#This Row],[Customer Gender]]="F","Female",IF( orders[[#This Row],[Customer Gender]]="O","Other", "Unknown")))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3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>
        <f>IF(orders[[#This Row],[Customer Gender]]="M","Male",IF( orders[[#This Row],[Customer Gender]]="F","Female",IF( orders[[#This Row],[Customer Gender]]="O","Other", "Unknown")))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3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>
        <f>IF(orders[[#This Row],[Customer Gender]]="M","Male",IF( orders[[#This Row],[Customer Gender]]="F","Female",IF( orders[[#This Row],[Customer Gender]]="O","Other", "Unknown")))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3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>
        <f>IF(orders[[#This Row],[Customer Gender]]="M","Male",IF( orders[[#This Row],[Customer Gender]]="F","Female",IF( orders[[#This Row],[Customer Gender]]="O","Other", "Unknown")))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3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>
        <f>IF(orders[[#This Row],[Customer Gender]]="M","Male",IF( orders[[#This Row],[Customer Gender]]="F","Female",IF( orders[[#This Row],[Customer Gender]]="O","Other", "Unknown")))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3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>
        <f>IF(orders[[#This Row],[Customer Gender]]="M","Male",IF( orders[[#This Row],[Customer Gender]]="F","Female",IF( orders[[#This Row],[Customer Gender]]="O","Other", "Unknown")))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3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>
        <f>IF(orders[[#This Row],[Customer Gender]]="M","Male",IF( orders[[#This Row],[Customer Gender]]="F","Female",IF( orders[[#This Row],[Customer Gender]]="O","Other", "Unknown")))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3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>
        <f>IF(orders[[#This Row],[Customer Gender]]="M","Male",IF( orders[[#This Row],[Customer Gender]]="F","Female",IF( orders[[#This Row],[Customer Gender]]="O","Other", "Unknown")))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3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>
        <f>IF(orders[[#This Row],[Customer Gender]]="M","Male",IF( orders[[#This Row],[Customer Gender]]="F","Female",IF( orders[[#This Row],[Customer Gender]]="O","Other", "Unknown")))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3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>
        <f>IF(orders[[#This Row],[Customer Gender]]="M","Male",IF( orders[[#This Row],[Customer Gender]]="F","Female",IF( orders[[#This Row],[Customer Gender]]="O","Other", "Unknown")))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3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>
        <f>IF(orders[[#This Row],[Customer Gender]]="M","Male",IF( orders[[#This Row],[Customer Gender]]="F","Female",IF( orders[[#This Row],[Customer Gender]]="O","Other", "Unknown")))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3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>
        <f>IF(orders[[#This Row],[Customer Gender]]="M","Male",IF( orders[[#This Row],[Customer Gender]]="F","Female",IF( orders[[#This Row],[Customer Gender]]="O","Other", "Unknown")))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3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>
        <f>IF(orders[[#This Row],[Customer Gender]]="M","Male",IF( orders[[#This Row],[Customer Gender]]="F","Female",IF( orders[[#This Row],[Customer Gender]]="O","Other", "Unknown")))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3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>
        <f>IF(orders[[#This Row],[Customer Gender]]="M","Male",IF( orders[[#This Row],[Customer Gender]]="F","Female",IF( orders[[#This Row],[Customer Gender]]="O","Other", "Unknown")))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3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>
        <f>IF(orders[[#This Row],[Customer Gender]]="M","Male",IF( orders[[#This Row],[Customer Gender]]="F","Female",IF( orders[[#This Row],[Customer Gender]]="O","Other", "Unknown")))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3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>
        <f>IF(orders[[#This Row],[Customer Gender]]="M","Male",IF( orders[[#This Row],[Customer Gender]]="F","Female",IF( orders[[#This Row],[Customer Gender]]="O","Other", "Unknown")))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3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>
        <f>IF(orders[[#This Row],[Customer Gender]]="M","Male",IF( orders[[#This Row],[Customer Gender]]="F","Female",IF( orders[[#This Row],[Customer Gender]]="O","Other", "Unknown")))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3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>
        <f>IF(orders[[#This Row],[Customer Gender]]="M","Male",IF( orders[[#This Row],[Customer Gender]]="F","Female",IF( orders[[#This Row],[Customer Gender]]="O","Other", "Unknown")))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3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>
        <f>IF(orders[[#This Row],[Customer Gender]]="M","Male",IF( orders[[#This Row],[Customer Gender]]="F","Female",IF( orders[[#This Row],[Customer Gender]]="O","Other", "Unknown")))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3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>
        <f>IF(orders[[#This Row],[Customer Gender]]="M","Male",IF( orders[[#This Row],[Customer Gender]]="F","Female",IF( orders[[#This Row],[Customer Gender]]="O","Other", "Unknown")))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3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>
        <f>IF(orders[[#This Row],[Customer Gender]]="M","Male",IF( orders[[#This Row],[Customer Gender]]="F","Female",IF( orders[[#This Row],[Customer Gender]]="O","Other", "Unknown")))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3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>
        <f>IF(orders[[#This Row],[Customer Gender]]="M","Male",IF( orders[[#This Row],[Customer Gender]]="F","Female",IF( orders[[#This Row],[Customer Gender]]="O","Other", "Unknown")))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3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>
        <f>IF(orders[[#This Row],[Customer Gender]]="M","Male",IF( orders[[#This Row],[Customer Gender]]="F","Female",IF( orders[[#This Row],[Customer Gender]]="O","Other", "Unknown")))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3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>
        <f>IF(orders[[#This Row],[Customer Gender]]="M","Male",IF( orders[[#This Row],[Customer Gender]]="F","Female",IF( orders[[#This Row],[Customer Gender]]="O","Other", "Unknown")))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3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>
        <f>IF(orders[[#This Row],[Customer Gender]]="M","Male",IF( orders[[#This Row],[Customer Gender]]="F","Female",IF( orders[[#This Row],[Customer Gender]]="O","Other", "Unknown")))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3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>
        <f>IF(orders[[#This Row],[Customer Gender]]="M","Male",IF( orders[[#This Row],[Customer Gender]]="F","Female",IF( orders[[#This Row],[Customer Gender]]="O","Other", "Unknown")))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3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>
        <f>IF(orders[[#This Row],[Customer Gender]]="M","Male",IF( orders[[#This Row],[Customer Gender]]="F","Female",IF( orders[[#This Row],[Customer Gender]]="O","Other", "Unknown")))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3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>
        <f>IF(orders[[#This Row],[Customer Gender]]="M","Male",IF( orders[[#This Row],[Customer Gender]]="F","Female",IF( orders[[#This Row],[Customer Gender]]="O","Other", "Unknown")))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3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>
        <f>IF(orders[[#This Row],[Customer Gender]]="M","Male",IF( orders[[#This Row],[Customer Gender]]="F","Female",IF( orders[[#This Row],[Customer Gender]]="O","Other", "Unknown")))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3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>
        <f>IF(orders[[#This Row],[Customer Gender]]="M","Male",IF( orders[[#This Row],[Customer Gender]]="F","Female",IF( orders[[#This Row],[Customer Gender]]="O","Other", "Unknown")))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3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>
        <f>IF(orders[[#This Row],[Customer Gender]]="M","Male",IF( orders[[#This Row],[Customer Gender]]="F","Female",IF( orders[[#This Row],[Customer Gender]]="O","Other", "Unknown")))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3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>
        <f>IF(orders[[#This Row],[Customer Gender]]="M","Male",IF( orders[[#This Row],[Customer Gender]]="F","Female",IF( orders[[#This Row],[Customer Gender]]="O","Other", "Unknown")))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3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>
        <f>IF(orders[[#This Row],[Customer Gender]]="M","Male",IF( orders[[#This Row],[Customer Gender]]="F","Female",IF( orders[[#This Row],[Customer Gender]]="O","Other", "Unknown")))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3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>
        <f>IF(orders[[#This Row],[Customer Gender]]="M","Male",IF( orders[[#This Row],[Customer Gender]]="F","Female",IF( orders[[#This Row],[Customer Gender]]="O","Other", "Unknown")))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3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>
        <f>IF(orders[[#This Row],[Customer Gender]]="M","Male",IF( orders[[#This Row],[Customer Gender]]="F","Female",IF( orders[[#This Row],[Customer Gender]]="O","Other", "Unknown")))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3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>
        <f>IF(orders[[#This Row],[Customer Gender]]="M","Male",IF( orders[[#This Row],[Customer Gender]]="F","Female",IF( orders[[#This Row],[Customer Gender]]="O","Other", "Unknown")))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3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>
        <f>IF(orders[[#This Row],[Customer Gender]]="M","Male",IF( orders[[#This Row],[Customer Gender]]="F","Female",IF( orders[[#This Row],[Customer Gender]]="O","Other", "Unknown")))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3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>
        <f>IF(orders[[#This Row],[Customer Gender]]="M","Male",IF( orders[[#This Row],[Customer Gender]]="F","Female",IF( orders[[#This Row],[Customer Gender]]="O","Other", "Unknown")))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3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>
        <f>IF(orders[[#This Row],[Customer Gender]]="M","Male",IF( orders[[#This Row],[Customer Gender]]="F","Female",IF( orders[[#This Row],[Customer Gender]]="O","Other", "Unknown")))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3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>
        <f>IF(orders[[#This Row],[Customer Gender]]="M","Male",IF( orders[[#This Row],[Customer Gender]]="F","Female",IF( orders[[#This Row],[Customer Gender]]="O","Other", "Unknown")))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3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>
        <f>IF(orders[[#This Row],[Customer Gender]]="M","Male",IF( orders[[#This Row],[Customer Gender]]="F","Female",IF( orders[[#This Row],[Customer Gender]]="O","Other", "Unknown")))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3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>
        <f>IF(orders[[#This Row],[Customer Gender]]="M","Male",IF( orders[[#This Row],[Customer Gender]]="F","Female",IF( orders[[#This Row],[Customer Gender]]="O","Other", "Unknown")))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3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>
        <f>IF(orders[[#This Row],[Customer Gender]]="M","Male",IF( orders[[#This Row],[Customer Gender]]="F","Female",IF( orders[[#This Row],[Customer Gender]]="O","Other", "Unknown")))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3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>
        <f>IF(orders[[#This Row],[Customer Gender]]="M","Male",IF( orders[[#This Row],[Customer Gender]]="F","Female",IF( orders[[#This Row],[Customer Gender]]="O","Other", "Unknown")))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3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>
        <f>IF(orders[[#This Row],[Customer Gender]]="M","Male",IF( orders[[#This Row],[Customer Gender]]="F","Female",IF( orders[[#This Row],[Customer Gender]]="O","Other", "Unknown")))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3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>
        <f>IF(orders[[#This Row],[Customer Gender]]="M","Male",IF( orders[[#This Row],[Customer Gender]]="F","Female",IF( orders[[#This Row],[Customer Gender]]="O","Other", "Unknown")))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3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>
        <f>IF(orders[[#This Row],[Customer Gender]]="M","Male",IF( orders[[#This Row],[Customer Gender]]="F","Female",IF( orders[[#This Row],[Customer Gender]]="O","Other", "Unknown")))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3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>
        <f>IF(orders[[#This Row],[Customer Gender]]="M","Male",IF( orders[[#This Row],[Customer Gender]]="F","Female",IF( orders[[#This Row],[Customer Gender]]="O","Other", "Unknown")))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3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>
        <f>IF(orders[[#This Row],[Customer Gender]]="M","Male",IF( orders[[#This Row],[Customer Gender]]="F","Female",IF( orders[[#This Row],[Customer Gender]]="O","Other", "Unknown")))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3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>
        <f>IF(orders[[#This Row],[Customer Gender]]="M","Male",IF( orders[[#This Row],[Customer Gender]]="F","Female",IF( orders[[#This Row],[Customer Gender]]="O","Other", "Unknown")))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3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>
        <f>IF(orders[[#This Row],[Customer Gender]]="M","Male",IF( orders[[#This Row],[Customer Gender]]="F","Female",IF( orders[[#This Row],[Customer Gender]]="O","Other", "Unknown")))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3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>
        <f>IF(orders[[#This Row],[Customer Gender]]="M","Male",IF( orders[[#This Row],[Customer Gender]]="F","Female",IF( orders[[#This Row],[Customer Gender]]="O","Other", "Unknown")))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3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>
        <f>IF(orders[[#This Row],[Customer Gender]]="M","Male",IF( orders[[#This Row],[Customer Gender]]="F","Female",IF( orders[[#This Row],[Customer Gender]]="O","Other", "Unknown")))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3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>
        <f>IF(orders[[#This Row],[Customer Gender]]="M","Male",IF( orders[[#This Row],[Customer Gender]]="F","Female",IF( orders[[#This Row],[Customer Gender]]="O","Other", "Unknown")))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3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>
        <f>IF(orders[[#This Row],[Customer Gender]]="M","Male",IF( orders[[#This Row],[Customer Gender]]="F","Female",IF( orders[[#This Row],[Customer Gender]]="O","Other", "Unknown")))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3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>
        <f>IF(orders[[#This Row],[Customer Gender]]="M","Male",IF( orders[[#This Row],[Customer Gender]]="F","Female",IF( orders[[#This Row],[Customer Gender]]="O","Other", "Unknown")))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3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>
        <f>IF(orders[[#This Row],[Customer Gender]]="M","Male",IF( orders[[#This Row],[Customer Gender]]="F","Female",IF( orders[[#This Row],[Customer Gender]]="O","Other", "Unknown")))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3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>
        <f>IF(orders[[#This Row],[Customer Gender]]="M","Male",IF( orders[[#This Row],[Customer Gender]]="F","Female",IF( orders[[#This Row],[Customer Gender]]="O","Other", "Unknown")))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3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>
        <f>IF(orders[[#This Row],[Customer Gender]]="M","Male",IF( orders[[#This Row],[Customer Gender]]="F","Female",IF( orders[[#This Row],[Customer Gender]]="O","Other", "Unknown")))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3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>
        <f>IF(orders[[#This Row],[Customer Gender]]="M","Male",IF( orders[[#This Row],[Customer Gender]]="F","Female",IF( orders[[#This Row],[Customer Gender]]="O","Other", "Unknown")))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3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>
        <f>IF(orders[[#This Row],[Customer Gender]]="M","Male",IF( orders[[#This Row],[Customer Gender]]="F","Female",IF( orders[[#This Row],[Customer Gender]]="O","Other", "Unknown")))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3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>
        <f>IF(orders[[#This Row],[Customer Gender]]="M","Male",IF( orders[[#This Row],[Customer Gender]]="F","Female",IF( orders[[#This Row],[Customer Gender]]="O","Other", "Unknown")))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3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>
        <f>IF(orders[[#This Row],[Customer Gender]]="M","Male",IF( orders[[#This Row],[Customer Gender]]="F","Female",IF( orders[[#This Row],[Customer Gender]]="O","Other", "Unknown")))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3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>
        <f>IF(orders[[#This Row],[Customer Gender]]="M","Male",IF( orders[[#This Row],[Customer Gender]]="F","Female",IF( orders[[#This Row],[Customer Gender]]="O","Other", "Unknown")))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3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>
        <f>IF(orders[[#This Row],[Customer Gender]]="M","Male",IF( orders[[#This Row],[Customer Gender]]="F","Female",IF( orders[[#This Row],[Customer Gender]]="O","Other", "Unknown")))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3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>
        <f>IF(orders[[#This Row],[Customer Gender]]="M","Male",IF( orders[[#This Row],[Customer Gender]]="F","Female",IF( orders[[#This Row],[Customer Gender]]="O","Other", "Unknown")))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3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>
        <f>IF(orders[[#This Row],[Customer Gender]]="M","Male",IF( orders[[#This Row],[Customer Gender]]="F","Female",IF( orders[[#This Row],[Customer Gender]]="O","Other", "Unknown")))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3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>
        <f>IF(orders[[#This Row],[Customer Gender]]="M","Male",IF( orders[[#This Row],[Customer Gender]]="F","Female",IF( orders[[#This Row],[Customer Gender]]="O","Other", "Unknown")))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3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>
        <f>IF(orders[[#This Row],[Customer Gender]]="M","Male",IF( orders[[#This Row],[Customer Gender]]="F","Female",IF( orders[[#This Row],[Customer Gender]]="O","Other", "Unknown")))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3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>
        <f>IF(orders[[#This Row],[Customer Gender]]="M","Male",IF( orders[[#This Row],[Customer Gender]]="F","Female",IF( orders[[#This Row],[Customer Gender]]="O","Other", "Unknown")))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3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>
        <f>IF(orders[[#This Row],[Customer Gender]]="M","Male",IF( orders[[#This Row],[Customer Gender]]="F","Female",IF( orders[[#This Row],[Customer Gender]]="O","Other", "Unknown")))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3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>
        <f>IF(orders[[#This Row],[Customer Gender]]="M","Male",IF( orders[[#This Row],[Customer Gender]]="F","Female",IF( orders[[#This Row],[Customer Gender]]="O","Other", "Unknown")))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3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>
        <f>IF(orders[[#This Row],[Customer Gender]]="M","Male",IF( orders[[#This Row],[Customer Gender]]="F","Female",IF( orders[[#This Row],[Customer Gender]]="O","Other", "Unknown")))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3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>
        <f>IF(orders[[#This Row],[Customer Gender]]="M","Male",IF( orders[[#This Row],[Customer Gender]]="F","Female",IF( orders[[#This Row],[Customer Gender]]="O","Other", "Unknown")))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3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>
        <f>IF(orders[[#This Row],[Customer Gender]]="M","Male",IF( orders[[#This Row],[Customer Gender]]="F","Female",IF( orders[[#This Row],[Customer Gender]]="O","Other", "Unknown")))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3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>
        <f>IF(orders[[#This Row],[Customer Gender]]="M","Male",IF( orders[[#This Row],[Customer Gender]]="F","Female",IF( orders[[#This Row],[Customer Gender]]="O","Other", "Unknown")))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3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>
        <f>IF(orders[[#This Row],[Customer Gender]]="M","Male",IF( orders[[#This Row],[Customer Gender]]="F","Female",IF( orders[[#This Row],[Customer Gender]]="O","Other", "Unknown")))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3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>
        <f>IF(orders[[#This Row],[Customer Gender]]="M","Male",IF( orders[[#This Row],[Customer Gender]]="F","Female",IF( orders[[#This Row],[Customer Gender]]="O","Other", "Unknown")))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3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>
        <f>IF(orders[[#This Row],[Customer Gender]]="M","Male",IF( orders[[#This Row],[Customer Gender]]="F","Female",IF( orders[[#This Row],[Customer Gender]]="O","Other", "Unknown")))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3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>
        <f>IF(orders[[#This Row],[Customer Gender]]="M","Male",IF( orders[[#This Row],[Customer Gender]]="F","Female",IF( orders[[#This Row],[Customer Gender]]="O","Other", "Unknown")))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3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>
        <f>IF(orders[[#This Row],[Customer Gender]]="M","Male",IF( orders[[#This Row],[Customer Gender]]="F","Female",IF( orders[[#This Row],[Customer Gender]]="O","Other", "Unknown")))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3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>
        <f>IF(orders[[#This Row],[Customer Gender]]="M","Male",IF( orders[[#This Row],[Customer Gender]]="F","Female",IF( orders[[#This Row],[Customer Gender]]="O","Other", "Unknown")))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3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>
        <f>IF(orders[[#This Row],[Customer Gender]]="M","Male",IF( orders[[#This Row],[Customer Gender]]="F","Female",IF( orders[[#This Row],[Customer Gender]]="O","Other", "Unknown")))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3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>
        <f>IF(orders[[#This Row],[Customer Gender]]="M","Male",IF( orders[[#This Row],[Customer Gender]]="F","Female",IF( orders[[#This Row],[Customer Gender]]="O","Other", "Unknown")))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3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>
        <f>IF(orders[[#This Row],[Customer Gender]]="M","Male",IF( orders[[#This Row],[Customer Gender]]="F","Female",IF( orders[[#This Row],[Customer Gender]]="O","Other", "Unknown")))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3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>
        <f>IF(orders[[#This Row],[Customer Gender]]="M","Male",IF( orders[[#This Row],[Customer Gender]]="F","Female",IF( orders[[#This Row],[Customer Gender]]="O","Other", "Unknown")))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3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>
        <f>IF(orders[[#This Row],[Customer Gender]]="M","Male",IF( orders[[#This Row],[Customer Gender]]="F","Female",IF( orders[[#This Row],[Customer Gender]]="O","Other", "Unknown")))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3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>
        <f>IF(orders[[#This Row],[Customer Gender]]="M","Male",IF( orders[[#This Row],[Customer Gender]]="F","Female",IF( orders[[#This Row],[Customer Gender]]="O","Other", "Unknown")))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3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>
        <f>IF(orders[[#This Row],[Customer Gender]]="M","Male",IF( orders[[#This Row],[Customer Gender]]="F","Female",IF( orders[[#This Row],[Customer Gender]]="O","Other", "Unknown")))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3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>
        <f>IF(orders[[#This Row],[Customer Gender]]="M","Male",IF( orders[[#This Row],[Customer Gender]]="F","Female",IF( orders[[#This Row],[Customer Gender]]="O","Other", "Unknown")))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3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>
        <f>IF(orders[[#This Row],[Customer Gender]]="M","Male",IF( orders[[#This Row],[Customer Gender]]="F","Female",IF( orders[[#This Row],[Customer Gender]]="O","Other", "Unknown")))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3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>
        <f>IF(orders[[#This Row],[Customer Gender]]="M","Male",IF( orders[[#This Row],[Customer Gender]]="F","Female",IF( orders[[#This Row],[Customer Gender]]="O","Other", "Unknown")))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3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>
        <f>IF(orders[[#This Row],[Customer Gender]]="M","Male",IF( orders[[#This Row],[Customer Gender]]="F","Female",IF( orders[[#This Row],[Customer Gender]]="O","Other", "Unknown")))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3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>
        <f>IF(orders[[#This Row],[Customer Gender]]="M","Male",IF( orders[[#This Row],[Customer Gender]]="F","Female",IF( orders[[#This Row],[Customer Gender]]="O","Other", "Unknown")))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3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>
        <f>IF(orders[[#This Row],[Customer Gender]]="M","Male",IF( orders[[#This Row],[Customer Gender]]="F","Female",IF( orders[[#This Row],[Customer Gender]]="O","Other", "Unknown")))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3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>
        <f>IF(orders[[#This Row],[Customer Gender]]="M","Male",IF( orders[[#This Row],[Customer Gender]]="F","Female",IF( orders[[#This Row],[Customer Gender]]="O","Other", "Unknown")))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3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>
        <f>IF(orders[[#This Row],[Customer Gender]]="M","Male",IF( orders[[#This Row],[Customer Gender]]="F","Female",IF( orders[[#This Row],[Customer Gender]]="O","Other", "Unknown")))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3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>
        <f>IF(orders[[#This Row],[Customer Gender]]="M","Male",IF( orders[[#This Row],[Customer Gender]]="F","Female",IF( orders[[#This Row],[Customer Gender]]="O","Other", "Unknown")))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3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>
        <f>IF(orders[[#This Row],[Customer Gender]]="M","Male",IF( orders[[#This Row],[Customer Gender]]="F","Female",IF( orders[[#This Row],[Customer Gender]]="O","Other", "Unknown")))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3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>
        <f>IF(orders[[#This Row],[Customer Gender]]="M","Male",IF( orders[[#This Row],[Customer Gender]]="F","Female",IF( orders[[#This Row],[Customer Gender]]="O","Other", "Unknown")))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3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>
        <f>IF(orders[[#This Row],[Customer Gender]]="M","Male",IF( orders[[#This Row],[Customer Gender]]="F","Female",IF( orders[[#This Row],[Customer Gender]]="O","Other", "Unknown")))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3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>
        <f>IF(orders[[#This Row],[Customer Gender]]="M","Male",IF( orders[[#This Row],[Customer Gender]]="F","Female",IF( orders[[#This Row],[Customer Gender]]="O","Other", "Unknown")))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3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>
        <f>IF(orders[[#This Row],[Customer Gender]]="M","Male",IF( orders[[#This Row],[Customer Gender]]="F","Female",IF( orders[[#This Row],[Customer Gender]]="O","Other", "Unknown")))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3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>
        <f>IF(orders[[#This Row],[Customer Gender]]="M","Male",IF( orders[[#This Row],[Customer Gender]]="F","Female",IF( orders[[#This Row],[Customer Gender]]="O","Other", "Unknown")))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3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>
        <f>IF(orders[[#This Row],[Customer Gender]]="M","Male",IF( orders[[#This Row],[Customer Gender]]="F","Female",IF( orders[[#This Row],[Customer Gender]]="O","Other", "Unknown")))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3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>
        <f>IF(orders[[#This Row],[Customer Gender]]="M","Male",IF( orders[[#This Row],[Customer Gender]]="F","Female",IF( orders[[#This Row],[Customer Gender]]="O","Other", "Unknown")))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3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>
        <f>IF(orders[[#This Row],[Customer Gender]]="M","Male",IF( orders[[#This Row],[Customer Gender]]="F","Female",IF( orders[[#This Row],[Customer Gender]]="O","Other", "Unknown")))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3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>
        <f>IF(orders[[#This Row],[Customer Gender]]="M","Male",IF( orders[[#This Row],[Customer Gender]]="F","Female",IF( orders[[#This Row],[Customer Gender]]="O","Other", "Unknown")))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3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>
        <f>IF(orders[[#This Row],[Customer Gender]]="M","Male",IF( orders[[#This Row],[Customer Gender]]="F","Female",IF( orders[[#This Row],[Customer Gender]]="O","Other", "Unknown")))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3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>
        <f>IF(orders[[#This Row],[Customer Gender]]="M","Male",IF( orders[[#This Row],[Customer Gender]]="F","Female",IF( orders[[#This Row],[Customer Gender]]="O","Other", "Unknown")))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3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>
        <f>IF(orders[[#This Row],[Customer Gender]]="M","Male",IF( orders[[#This Row],[Customer Gender]]="F","Female",IF( orders[[#This Row],[Customer Gender]]="O","Other", "Unknown")))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3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>
        <f>IF(orders[[#This Row],[Customer Gender]]="M","Male",IF( orders[[#This Row],[Customer Gender]]="F","Female",IF( orders[[#This Row],[Customer Gender]]="O","Other", "Unknown")))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3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>
        <f>IF(orders[[#This Row],[Customer Gender]]="M","Male",IF( orders[[#This Row],[Customer Gender]]="F","Female",IF( orders[[#This Row],[Customer Gender]]="O","Other", "Unknown")))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3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>
        <f>IF(orders[[#This Row],[Customer Gender]]="M","Male",IF( orders[[#This Row],[Customer Gender]]="F","Female",IF( orders[[#This Row],[Customer Gender]]="O","Other", "Unknown")))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3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>
        <f>IF(orders[[#This Row],[Customer Gender]]="M","Male",IF( orders[[#This Row],[Customer Gender]]="F","Female",IF( orders[[#This Row],[Customer Gender]]="O","Other", "Unknown")))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3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>
        <f>IF(orders[[#This Row],[Customer Gender]]="M","Male",IF( orders[[#This Row],[Customer Gender]]="F","Female",IF( orders[[#This Row],[Customer Gender]]="O","Other", "Unknown")))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3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>
        <f>IF(orders[[#This Row],[Customer Gender]]="M","Male",IF( orders[[#This Row],[Customer Gender]]="F","Female",IF( orders[[#This Row],[Customer Gender]]="O","Other", "Unknown")))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3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>
        <f>IF(orders[[#This Row],[Customer Gender]]="M","Male",IF( orders[[#This Row],[Customer Gender]]="F","Female",IF( orders[[#This Row],[Customer Gender]]="O","Other", "Unknown")))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3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>
        <f>IF(orders[[#This Row],[Customer Gender]]="M","Male",IF( orders[[#This Row],[Customer Gender]]="F","Female",IF( orders[[#This Row],[Customer Gender]]="O","Other", "Unknown")))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3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>
        <f>IF(orders[[#This Row],[Customer Gender]]="M","Male",IF( orders[[#This Row],[Customer Gender]]="F","Female",IF( orders[[#This Row],[Customer Gender]]="O","Other", "Unknown")))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3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>
        <f>IF(orders[[#This Row],[Customer Gender]]="M","Male",IF( orders[[#This Row],[Customer Gender]]="F","Female",IF( orders[[#This Row],[Customer Gender]]="O","Other", "Unknown")))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3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>
        <f>IF(orders[[#This Row],[Customer Gender]]="M","Male",IF( orders[[#This Row],[Customer Gender]]="F","Female",IF( orders[[#This Row],[Customer Gender]]="O","Other", "Unknown")))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3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>
        <f>IF(orders[[#This Row],[Customer Gender]]="M","Male",IF( orders[[#This Row],[Customer Gender]]="F","Female",IF( orders[[#This Row],[Customer Gender]]="O","Other", "Unknown")))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3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>
        <f>IF(orders[[#This Row],[Customer Gender]]="M","Male",IF( orders[[#This Row],[Customer Gender]]="F","Female",IF( orders[[#This Row],[Customer Gender]]="O","Other", "Unknown")))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3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>
        <f>IF(orders[[#This Row],[Customer Gender]]="M","Male",IF( orders[[#This Row],[Customer Gender]]="F","Female",IF( orders[[#This Row],[Customer Gender]]="O","Other", "Unknown")))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3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>
        <f>IF(orders[[#This Row],[Customer Gender]]="M","Male",IF( orders[[#This Row],[Customer Gender]]="F","Female",IF( orders[[#This Row],[Customer Gender]]="O","Other", "Unknown")))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3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>
        <f>IF(orders[[#This Row],[Customer Gender]]="M","Male",IF( orders[[#This Row],[Customer Gender]]="F","Female",IF( orders[[#This Row],[Customer Gender]]="O","Other", "Unknown")))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3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>
        <f>IF(orders[[#This Row],[Customer Gender]]="M","Male",IF( orders[[#This Row],[Customer Gender]]="F","Female",IF( orders[[#This Row],[Customer Gender]]="O","Other", "Unknown")))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3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>
        <f>IF(orders[[#This Row],[Customer Gender]]="M","Male",IF( orders[[#This Row],[Customer Gender]]="F","Female",IF( orders[[#This Row],[Customer Gender]]="O","Other", "Unknown")))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3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>
        <f>IF(orders[[#This Row],[Customer Gender]]="M","Male",IF( orders[[#This Row],[Customer Gender]]="F","Female",IF( orders[[#This Row],[Customer Gender]]="O","Other", "Unknown")))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3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>
        <f>IF(orders[[#This Row],[Customer Gender]]="M","Male",IF( orders[[#This Row],[Customer Gender]]="F","Female",IF( orders[[#This Row],[Customer Gender]]="O","Other", "Unknown")))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3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>
        <f>IF(orders[[#This Row],[Customer Gender]]="M","Male",IF( orders[[#This Row],[Customer Gender]]="F","Female",IF( orders[[#This Row],[Customer Gender]]="O","Other", "Unknown")))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3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>
        <f>IF(orders[[#This Row],[Customer Gender]]="M","Male",IF( orders[[#This Row],[Customer Gender]]="F","Female",IF( orders[[#This Row],[Customer Gender]]="O","Other", "Unknown")))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3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>
        <f>IF(orders[[#This Row],[Customer Gender]]="M","Male",IF( orders[[#This Row],[Customer Gender]]="F","Female",IF( orders[[#This Row],[Customer Gender]]="O","Other", "Unknown")))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3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>
        <f>IF(orders[[#This Row],[Customer Gender]]="M","Male",IF( orders[[#This Row],[Customer Gender]]="F","Female",IF( orders[[#This Row],[Customer Gender]]="O","Other", "Unknown")))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3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>
        <f>IF(orders[[#This Row],[Customer Gender]]="M","Male",IF( orders[[#This Row],[Customer Gender]]="F","Female",IF( orders[[#This Row],[Customer Gender]]="O","Other", "Unknown")))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3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>
        <f>IF(orders[[#This Row],[Customer Gender]]="M","Male",IF( orders[[#This Row],[Customer Gender]]="F","Female",IF( orders[[#This Row],[Customer Gender]]="O","Other", "Unknown")))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3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>
        <f>IF(orders[[#This Row],[Customer Gender]]="M","Male",IF( orders[[#This Row],[Customer Gender]]="F","Female",IF( orders[[#This Row],[Customer Gender]]="O","Other", "Unknown")))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3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>
        <f>IF(orders[[#This Row],[Customer Gender]]="M","Male",IF( orders[[#This Row],[Customer Gender]]="F","Female",IF( orders[[#This Row],[Customer Gender]]="O","Other", "Unknown")))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3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>
        <f>IF(orders[[#This Row],[Customer Gender]]="M","Male",IF( orders[[#This Row],[Customer Gender]]="F","Female",IF( orders[[#This Row],[Customer Gender]]="O","Other", "Unknown")))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3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>
        <f>IF(orders[[#This Row],[Customer Gender]]="M","Male",IF( orders[[#This Row],[Customer Gender]]="F","Female",IF( orders[[#This Row],[Customer Gender]]="O","Other", "Unknown")))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3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>
        <f>IF(orders[[#This Row],[Customer Gender]]="M","Male",IF( orders[[#This Row],[Customer Gender]]="F","Female",IF( orders[[#This Row],[Customer Gender]]="O","Other", "Unknown")))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3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>
        <f>IF(orders[[#This Row],[Customer Gender]]="M","Male",IF( orders[[#This Row],[Customer Gender]]="F","Female",IF( orders[[#This Row],[Customer Gender]]="O","Other", "Unknown")))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3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>
        <f>IF(orders[[#This Row],[Customer Gender]]="M","Male",IF( orders[[#This Row],[Customer Gender]]="F","Female",IF( orders[[#This Row],[Customer Gender]]="O","Other", "Unknown")))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3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>
        <f>IF(orders[[#This Row],[Customer Gender]]="M","Male",IF( orders[[#This Row],[Customer Gender]]="F","Female",IF( orders[[#This Row],[Customer Gender]]="O","Other", "Unknown")))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3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>
        <f>IF(orders[[#This Row],[Customer Gender]]="M","Male",IF( orders[[#This Row],[Customer Gender]]="F","Female",IF( orders[[#This Row],[Customer Gender]]="O","Other", "Unknown")))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3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>
        <f>IF(orders[[#This Row],[Customer Gender]]="M","Male",IF( orders[[#This Row],[Customer Gender]]="F","Female",IF( orders[[#This Row],[Customer Gender]]="O","Other", "Unknown")))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3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>
        <f>IF(orders[[#This Row],[Customer Gender]]="M","Male",IF( orders[[#This Row],[Customer Gender]]="F","Female",IF( orders[[#This Row],[Customer Gender]]="O","Other", "Unknown")))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3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>
        <f>IF(orders[[#This Row],[Customer Gender]]="M","Male",IF( orders[[#This Row],[Customer Gender]]="F","Female",IF( orders[[#This Row],[Customer Gender]]="O","Other", "Unknown")))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3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>
        <f>IF(orders[[#This Row],[Customer Gender]]="M","Male",IF( orders[[#This Row],[Customer Gender]]="F","Female",IF( orders[[#This Row],[Customer Gender]]="O","Other", "Unknown")))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3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>
        <f>IF(orders[[#This Row],[Customer Gender]]="M","Male",IF( orders[[#This Row],[Customer Gender]]="F","Female",IF( orders[[#This Row],[Customer Gender]]="O","Other", "Unknown")))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3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>
        <f>IF(orders[[#This Row],[Customer Gender]]="M","Male",IF( orders[[#This Row],[Customer Gender]]="F","Female",IF( orders[[#This Row],[Customer Gender]]="O","Other", "Unknown")))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3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>
        <f>IF(orders[[#This Row],[Customer Gender]]="M","Male",IF( orders[[#This Row],[Customer Gender]]="F","Female",IF( orders[[#This Row],[Customer Gender]]="O","Other", "Unknown")))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3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>
        <f>IF(orders[[#This Row],[Customer Gender]]="M","Male",IF( orders[[#This Row],[Customer Gender]]="F","Female",IF( orders[[#This Row],[Customer Gender]]="O","Other", "Unknown")))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3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>
        <f>IF(orders[[#This Row],[Customer Gender]]="M","Male",IF( orders[[#This Row],[Customer Gender]]="F","Female",IF( orders[[#This Row],[Customer Gender]]="O","Other", "Unknown")))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3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>
        <f>IF(orders[[#This Row],[Customer Gender]]="M","Male",IF( orders[[#This Row],[Customer Gender]]="F","Female",IF( orders[[#This Row],[Customer Gender]]="O","Other", "Unknown")))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3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>
        <f>IF(orders[[#This Row],[Customer Gender]]="M","Male",IF( orders[[#This Row],[Customer Gender]]="F","Female",IF( orders[[#This Row],[Customer Gender]]="O","Other", "Unknown")))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3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>
        <f>IF(orders[[#This Row],[Customer Gender]]="M","Male",IF( orders[[#This Row],[Customer Gender]]="F","Female",IF( orders[[#This Row],[Customer Gender]]="O","Other", "Unknown")))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3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>
        <f>IF(orders[[#This Row],[Customer Gender]]="M","Male",IF( orders[[#This Row],[Customer Gender]]="F","Female",IF( orders[[#This Row],[Customer Gender]]="O","Other", "Unknown")))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3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>
        <f>IF(orders[[#This Row],[Customer Gender]]="M","Male",IF( orders[[#This Row],[Customer Gender]]="F","Female",IF( orders[[#This Row],[Customer Gender]]="O","Other", "Unknown")))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3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>
        <f>IF(orders[[#This Row],[Customer Gender]]="M","Male",IF( orders[[#This Row],[Customer Gender]]="F","Female",IF( orders[[#This Row],[Customer Gender]]="O","Other", "Unknown")))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3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>
        <f>IF(orders[[#This Row],[Customer Gender]]="M","Male",IF( orders[[#This Row],[Customer Gender]]="F","Female",IF( orders[[#This Row],[Customer Gender]]="O","Other", "Unknown")))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3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>
        <f>IF(orders[[#This Row],[Customer Gender]]="M","Male",IF( orders[[#This Row],[Customer Gender]]="F","Female",IF( orders[[#This Row],[Customer Gender]]="O","Other", "Unknown")))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3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>
        <f>IF(orders[[#This Row],[Customer Gender]]="M","Male",IF( orders[[#This Row],[Customer Gender]]="F","Female",IF( orders[[#This Row],[Customer Gender]]="O","Other", "Unknown")))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3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>
        <f>IF(orders[[#This Row],[Customer Gender]]="M","Male",IF( orders[[#This Row],[Customer Gender]]="F","Female",IF( orders[[#This Row],[Customer Gender]]="O","Other", "Unknown")))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3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>
        <f>IF(orders[[#This Row],[Customer Gender]]="M","Male",IF( orders[[#This Row],[Customer Gender]]="F","Female",IF( orders[[#This Row],[Customer Gender]]="O","Other", "Unknown")))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3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>
        <f>IF(orders[[#This Row],[Customer Gender]]="M","Male",IF( orders[[#This Row],[Customer Gender]]="F","Female",IF( orders[[#This Row],[Customer Gender]]="O","Other", "Unknown")))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3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>
        <f>IF(orders[[#This Row],[Customer Gender]]="M","Male",IF( orders[[#This Row],[Customer Gender]]="F","Female",IF( orders[[#This Row],[Customer Gender]]="O","Other", "Unknown")))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3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>
        <f>IF(orders[[#This Row],[Customer Gender]]="M","Male",IF( orders[[#This Row],[Customer Gender]]="F","Female",IF( orders[[#This Row],[Customer Gender]]="O","Other", "Unknown")))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3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>
        <f>IF(orders[[#This Row],[Customer Gender]]="M","Male",IF( orders[[#This Row],[Customer Gender]]="F","Female",IF( orders[[#This Row],[Customer Gender]]="O","Other", "Unknown")))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3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>
        <f>IF(orders[[#This Row],[Customer Gender]]="M","Male",IF( orders[[#This Row],[Customer Gender]]="F","Female",IF( orders[[#This Row],[Customer Gender]]="O","Other", "Unknown")))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3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>
        <f>IF(orders[[#This Row],[Customer Gender]]="M","Male",IF( orders[[#This Row],[Customer Gender]]="F","Female",IF( orders[[#This Row],[Customer Gender]]="O","Other", "Unknown")))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3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>
        <f>IF(orders[[#This Row],[Customer Gender]]="M","Male",IF( orders[[#This Row],[Customer Gender]]="F","Female",IF( orders[[#This Row],[Customer Gender]]="O","Other", "Unknown")))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3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>
        <f>IF(orders[[#This Row],[Customer Gender]]="M","Male",IF( orders[[#This Row],[Customer Gender]]="F","Female",IF( orders[[#This Row],[Customer Gender]]="O","Other", "Unknown")))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3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>
        <f>IF(orders[[#This Row],[Customer Gender]]="M","Male",IF( orders[[#This Row],[Customer Gender]]="F","Female",IF( orders[[#This Row],[Customer Gender]]="O","Other", "Unknown")))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3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>
        <f>IF(orders[[#This Row],[Customer Gender]]="M","Male",IF( orders[[#This Row],[Customer Gender]]="F","Female",IF( orders[[#This Row],[Customer Gender]]="O","Other", "Unknown")))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3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>
        <f>IF(orders[[#This Row],[Customer Gender]]="M","Male",IF( orders[[#This Row],[Customer Gender]]="F","Female",IF( orders[[#This Row],[Customer Gender]]="O","Other", "Unknown")))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3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>
        <f>IF(orders[[#This Row],[Customer Gender]]="M","Male",IF( orders[[#This Row],[Customer Gender]]="F","Female",IF( orders[[#This Row],[Customer Gender]]="O","Other", "Unknown")))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3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>
        <f>IF(orders[[#This Row],[Customer Gender]]="M","Male",IF( orders[[#This Row],[Customer Gender]]="F","Female",IF( orders[[#This Row],[Customer Gender]]="O","Other", "Unknown")))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3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>
        <f>IF(orders[[#This Row],[Customer Gender]]="M","Male",IF( orders[[#This Row],[Customer Gender]]="F","Female",IF( orders[[#This Row],[Customer Gender]]="O","Other", "Unknown")))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3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>
        <f>IF(orders[[#This Row],[Customer Gender]]="M","Male",IF( orders[[#This Row],[Customer Gender]]="F","Female",IF( orders[[#This Row],[Customer Gender]]="O","Other", "Unknown")))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3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>
        <f>IF(orders[[#This Row],[Customer Gender]]="M","Male",IF( orders[[#This Row],[Customer Gender]]="F","Female",IF( orders[[#This Row],[Customer Gender]]="O","Other", "Unknown")))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3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>
        <f>IF(orders[[#This Row],[Customer Gender]]="M","Male",IF( orders[[#This Row],[Customer Gender]]="F","Female",IF( orders[[#This Row],[Customer Gender]]="O","Other", "Unknown")))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3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>
        <f>IF(orders[[#This Row],[Customer Gender]]="M","Male",IF( orders[[#This Row],[Customer Gender]]="F","Female",IF( orders[[#This Row],[Customer Gender]]="O","Other", "Unknown")))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3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>
        <f>IF(orders[[#This Row],[Customer Gender]]="M","Male",IF( orders[[#This Row],[Customer Gender]]="F","Female",IF( orders[[#This Row],[Customer Gender]]="O","Other", "Unknown")))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3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>
        <f>IF(orders[[#This Row],[Customer Gender]]="M","Male",IF( orders[[#This Row],[Customer Gender]]="F","Female",IF( orders[[#This Row],[Customer Gender]]="O","Other", "Unknown")))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3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>
        <f>IF(orders[[#This Row],[Customer Gender]]="M","Male",IF( orders[[#This Row],[Customer Gender]]="F","Female",IF( orders[[#This Row],[Customer Gender]]="O","Other", "Unknown")))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3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>
        <f>IF(orders[[#This Row],[Customer Gender]]="M","Male",IF( orders[[#This Row],[Customer Gender]]="F","Female",IF( orders[[#This Row],[Customer Gender]]="O","Other", "Unknown")))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3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>
        <f>IF(orders[[#This Row],[Customer Gender]]="M","Male",IF( orders[[#This Row],[Customer Gender]]="F","Female",IF( orders[[#This Row],[Customer Gender]]="O","Other", "Unknown")))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3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>
        <f>IF(orders[[#This Row],[Customer Gender]]="M","Male",IF( orders[[#This Row],[Customer Gender]]="F","Female",IF( orders[[#This Row],[Customer Gender]]="O","Other", "Unknown")))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3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>
        <f>IF(orders[[#This Row],[Customer Gender]]="M","Male",IF( orders[[#This Row],[Customer Gender]]="F","Female",IF( orders[[#This Row],[Customer Gender]]="O","Other", "Unknown")))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3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>
        <f>IF(orders[[#This Row],[Customer Gender]]="M","Male",IF( orders[[#This Row],[Customer Gender]]="F","Female",IF( orders[[#This Row],[Customer Gender]]="O","Other", "Unknown")))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3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>
        <f>IF(orders[[#This Row],[Customer Gender]]="M","Male",IF( orders[[#This Row],[Customer Gender]]="F","Female",IF( orders[[#This Row],[Customer Gender]]="O","Other", "Unknown")))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3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>
        <f>IF(orders[[#This Row],[Customer Gender]]="M","Male",IF( orders[[#This Row],[Customer Gender]]="F","Female",IF( orders[[#This Row],[Customer Gender]]="O","Other", "Unknown")))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3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>
        <f>IF(orders[[#This Row],[Customer Gender]]="M","Male",IF( orders[[#This Row],[Customer Gender]]="F","Female",IF( orders[[#This Row],[Customer Gender]]="O","Other", "Unknown")))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3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>
        <f>IF(orders[[#This Row],[Customer Gender]]="M","Male",IF( orders[[#This Row],[Customer Gender]]="F","Female",IF( orders[[#This Row],[Customer Gender]]="O","Other", "Unknown")))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3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>
        <f>IF(orders[[#This Row],[Customer Gender]]="M","Male",IF( orders[[#This Row],[Customer Gender]]="F","Female",IF( orders[[#This Row],[Customer Gender]]="O","Other", "Unknown")))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3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>
        <f>IF(orders[[#This Row],[Customer Gender]]="M","Male",IF( orders[[#This Row],[Customer Gender]]="F","Female",IF( orders[[#This Row],[Customer Gender]]="O","Other", "Unknown")))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3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>
        <f>IF(orders[[#This Row],[Customer Gender]]="M","Male",IF( orders[[#This Row],[Customer Gender]]="F","Female",IF( orders[[#This Row],[Customer Gender]]="O","Other", "Unknown")))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3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>
        <f>IF(orders[[#This Row],[Customer Gender]]="M","Male",IF( orders[[#This Row],[Customer Gender]]="F","Female",IF( orders[[#This Row],[Customer Gender]]="O","Other", "Unknown")))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3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>
        <f>IF(orders[[#This Row],[Customer Gender]]="M","Male",IF( orders[[#This Row],[Customer Gender]]="F","Female",IF( orders[[#This Row],[Customer Gender]]="O","Other", "Unknown")))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3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>
        <f>IF(orders[[#This Row],[Customer Gender]]="M","Male",IF( orders[[#This Row],[Customer Gender]]="F","Female",IF( orders[[#This Row],[Customer Gender]]="O","Other", "Unknown")))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3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>
        <f>IF(orders[[#This Row],[Customer Gender]]="M","Male",IF( orders[[#This Row],[Customer Gender]]="F","Female",IF( orders[[#This Row],[Customer Gender]]="O","Other", "Unknown")))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3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>
        <f>IF(orders[[#This Row],[Customer Gender]]="M","Male",IF( orders[[#This Row],[Customer Gender]]="F","Female",IF( orders[[#This Row],[Customer Gender]]="O","Other", "Unknown")))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3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>
        <f>IF(orders[[#This Row],[Customer Gender]]="M","Male",IF( orders[[#This Row],[Customer Gender]]="F","Female",IF( orders[[#This Row],[Customer Gender]]="O","Other", "Unknown")))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3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>
        <f>IF(orders[[#This Row],[Customer Gender]]="M","Male",IF( orders[[#This Row],[Customer Gender]]="F","Female",IF( orders[[#This Row],[Customer Gender]]="O","Other", "Unknown")))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3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>
        <f>IF(orders[[#This Row],[Customer Gender]]="M","Male",IF( orders[[#This Row],[Customer Gender]]="F","Female",IF( orders[[#This Row],[Customer Gender]]="O","Other", "Unknown")))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3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>
        <f>IF(orders[[#This Row],[Customer Gender]]="M","Male",IF( orders[[#This Row],[Customer Gender]]="F","Female",IF( orders[[#This Row],[Customer Gender]]="O","Other", "Unknown")))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3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>
        <f>IF(orders[[#This Row],[Customer Gender]]="M","Male",IF( orders[[#This Row],[Customer Gender]]="F","Female",IF( orders[[#This Row],[Customer Gender]]="O","Other", "Unknown")))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3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>
        <f>IF(orders[[#This Row],[Customer Gender]]="M","Male",IF( orders[[#This Row],[Customer Gender]]="F","Female",IF( orders[[#This Row],[Customer Gender]]="O","Other", "Unknown")))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3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>
        <f>IF(orders[[#This Row],[Customer Gender]]="M","Male",IF( orders[[#This Row],[Customer Gender]]="F","Female",IF( orders[[#This Row],[Customer Gender]]="O","Other", "Unknown")))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3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>
        <f>IF(orders[[#This Row],[Customer Gender]]="M","Male",IF( orders[[#This Row],[Customer Gender]]="F","Female",IF( orders[[#This Row],[Customer Gender]]="O","Other", "Unknown")))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3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>
        <f>IF(orders[[#This Row],[Customer Gender]]="M","Male",IF( orders[[#This Row],[Customer Gender]]="F","Female",IF( orders[[#This Row],[Customer Gender]]="O","Other", "Unknown")))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3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>
        <f>IF(orders[[#This Row],[Customer Gender]]="M","Male",IF( orders[[#This Row],[Customer Gender]]="F","Female",IF( orders[[#This Row],[Customer Gender]]="O","Other", "Unknown")))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3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>
        <f>IF(orders[[#This Row],[Customer Gender]]="M","Male",IF( orders[[#This Row],[Customer Gender]]="F","Female",IF( orders[[#This Row],[Customer Gender]]="O","Other", "Unknown")))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3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>
        <f>IF(orders[[#This Row],[Customer Gender]]="M","Male",IF( orders[[#This Row],[Customer Gender]]="F","Female",IF( orders[[#This Row],[Customer Gender]]="O","Other", "Unknown")))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3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>
        <f>IF(orders[[#This Row],[Customer Gender]]="M","Male",IF( orders[[#This Row],[Customer Gender]]="F","Female",IF( orders[[#This Row],[Customer Gender]]="O","Other", "Unknown")))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3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>
        <f>IF(orders[[#This Row],[Customer Gender]]="M","Male",IF( orders[[#This Row],[Customer Gender]]="F","Female",IF( orders[[#This Row],[Customer Gender]]="O","Other", "Unknown")))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3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>
        <f>IF(orders[[#This Row],[Customer Gender]]="M","Male",IF( orders[[#This Row],[Customer Gender]]="F","Female",IF( orders[[#This Row],[Customer Gender]]="O","Other", "Unknown")))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3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>
        <f>IF(orders[[#This Row],[Customer Gender]]="M","Male",IF( orders[[#This Row],[Customer Gender]]="F","Female",IF( orders[[#This Row],[Customer Gender]]="O","Other", "Unknown")))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3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>
        <f>IF(orders[[#This Row],[Customer Gender]]="M","Male",IF( orders[[#This Row],[Customer Gender]]="F","Female",IF( orders[[#This Row],[Customer Gender]]="O","Other", "Unknown")))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3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>
        <f>IF(orders[[#This Row],[Customer Gender]]="M","Male",IF( orders[[#This Row],[Customer Gender]]="F","Female",IF( orders[[#This Row],[Customer Gender]]="O","Other", "Unknown")))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3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>
        <f>IF(orders[[#This Row],[Customer Gender]]="M","Male",IF( orders[[#This Row],[Customer Gender]]="F","Female",IF( orders[[#This Row],[Customer Gender]]="O","Other", "Unknown")))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3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>
        <f>IF(orders[[#This Row],[Customer Gender]]="M","Male",IF( orders[[#This Row],[Customer Gender]]="F","Female",IF( orders[[#This Row],[Customer Gender]]="O","Other", "Unknown")))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3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>
        <f>IF(orders[[#This Row],[Customer Gender]]="M","Male",IF( orders[[#This Row],[Customer Gender]]="F","Female",IF( orders[[#This Row],[Customer Gender]]="O","Other", "Unknown")))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3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>
        <f>IF(orders[[#This Row],[Customer Gender]]="M","Male",IF( orders[[#This Row],[Customer Gender]]="F","Female",IF( orders[[#This Row],[Customer Gender]]="O","Other", "Unknown")))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3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>
        <f>IF(orders[[#This Row],[Customer Gender]]="M","Male",IF( orders[[#This Row],[Customer Gender]]="F","Female",IF( orders[[#This Row],[Customer Gender]]="O","Other", "Unknown")))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3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>
        <f>IF(orders[[#This Row],[Customer Gender]]="M","Male",IF( orders[[#This Row],[Customer Gender]]="F","Female",IF( orders[[#This Row],[Customer Gender]]="O","Other", "Unknown")))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3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>
        <f>IF(orders[[#This Row],[Customer Gender]]="M","Male",IF( orders[[#This Row],[Customer Gender]]="F","Female",IF( orders[[#This Row],[Customer Gender]]="O","Other", "Unknown")))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3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>
        <f>IF(orders[[#This Row],[Customer Gender]]="M","Male",IF( orders[[#This Row],[Customer Gender]]="F","Female",IF( orders[[#This Row],[Customer Gender]]="O","Other", "Unknown")))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3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>
        <f>IF(orders[[#This Row],[Customer Gender]]="M","Male",IF( orders[[#This Row],[Customer Gender]]="F","Female",IF( orders[[#This Row],[Customer Gender]]="O","Other", "Unknown")))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3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>
        <f>IF(orders[[#This Row],[Customer Gender]]="M","Male",IF( orders[[#This Row],[Customer Gender]]="F","Female",IF( orders[[#This Row],[Customer Gender]]="O","Other", "Unknown")))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3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>
        <f>IF(orders[[#This Row],[Customer Gender]]="M","Male",IF( orders[[#This Row],[Customer Gender]]="F","Female",IF( orders[[#This Row],[Customer Gender]]="O","Other", "Unknown")))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3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>
        <f>IF(orders[[#This Row],[Customer Gender]]="M","Male",IF( orders[[#This Row],[Customer Gender]]="F","Female",IF( orders[[#This Row],[Customer Gender]]="O","Other", "Unknown")))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3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>
        <f>IF(orders[[#This Row],[Customer Gender]]="M","Male",IF( orders[[#This Row],[Customer Gender]]="F","Female",IF( orders[[#This Row],[Customer Gender]]="O","Other", "Unknown")))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3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>
        <f>IF(orders[[#This Row],[Customer Gender]]="M","Male",IF( orders[[#This Row],[Customer Gender]]="F","Female",IF( orders[[#This Row],[Customer Gender]]="O","Other", "Unknown")))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3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>
        <f>IF(orders[[#This Row],[Customer Gender]]="M","Male",IF( orders[[#This Row],[Customer Gender]]="F","Female",IF( orders[[#This Row],[Customer Gender]]="O","Other", "Unknown")))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3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>
        <f>IF(orders[[#This Row],[Customer Gender]]="M","Male",IF( orders[[#This Row],[Customer Gender]]="F","Female",IF( orders[[#This Row],[Customer Gender]]="O","Other", "Unknown")))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3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>
        <f>IF(orders[[#This Row],[Customer Gender]]="M","Male",IF( orders[[#This Row],[Customer Gender]]="F","Female",IF( orders[[#This Row],[Customer Gender]]="O","Other", "Unknown")))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3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>
        <f>IF(orders[[#This Row],[Customer Gender]]="M","Male",IF( orders[[#This Row],[Customer Gender]]="F","Female",IF( orders[[#This Row],[Customer Gender]]="O","Other", "Unknown")))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3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>
        <f>IF(orders[[#This Row],[Customer Gender]]="M","Male",IF( orders[[#This Row],[Customer Gender]]="F","Female",IF( orders[[#This Row],[Customer Gender]]="O","Other", "Unknown")))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3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>
        <f>IF(orders[[#This Row],[Customer Gender]]="M","Male",IF( orders[[#This Row],[Customer Gender]]="F","Female",IF( orders[[#This Row],[Customer Gender]]="O","Other", "Unknown")))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3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>
        <f>IF(orders[[#This Row],[Customer Gender]]="M","Male",IF( orders[[#This Row],[Customer Gender]]="F","Female",IF( orders[[#This Row],[Customer Gender]]="O","Other", "Unknown")))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3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>
        <f>IF(orders[[#This Row],[Customer Gender]]="M","Male",IF( orders[[#This Row],[Customer Gender]]="F","Female",IF( orders[[#This Row],[Customer Gender]]="O","Other", "Unknown")))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3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>
        <f>IF(orders[[#This Row],[Customer Gender]]="M","Male",IF( orders[[#This Row],[Customer Gender]]="F","Female",IF( orders[[#This Row],[Customer Gender]]="O","Other", "Unknown")))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3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>
        <f>IF(orders[[#This Row],[Customer Gender]]="M","Male",IF( orders[[#This Row],[Customer Gender]]="F","Female",IF( orders[[#This Row],[Customer Gender]]="O","Other", "Unknown")))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3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>
        <f>IF(orders[[#This Row],[Customer Gender]]="M","Male",IF( orders[[#This Row],[Customer Gender]]="F","Female",IF( orders[[#This Row],[Customer Gender]]="O","Other", "Unknown")))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3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>
        <f>IF(orders[[#This Row],[Customer Gender]]="M","Male",IF( orders[[#This Row],[Customer Gender]]="F","Female",IF( orders[[#This Row],[Customer Gender]]="O","Other", "Unknown")))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3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>
        <f>IF(orders[[#This Row],[Customer Gender]]="M","Male",IF( orders[[#This Row],[Customer Gender]]="F","Female",IF( orders[[#This Row],[Customer Gender]]="O","Other", "Unknown")))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3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>
        <f>IF(orders[[#This Row],[Customer Gender]]="M","Male",IF( orders[[#This Row],[Customer Gender]]="F","Female",IF( orders[[#This Row],[Customer Gender]]="O","Other", "Unknown")))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3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>
        <f>IF(orders[[#This Row],[Customer Gender]]="M","Male",IF( orders[[#This Row],[Customer Gender]]="F","Female",IF( orders[[#This Row],[Customer Gender]]="O","Other", "Unknown")))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3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>
        <f>IF(orders[[#This Row],[Customer Gender]]="M","Male",IF( orders[[#This Row],[Customer Gender]]="F","Female",IF( orders[[#This Row],[Customer Gender]]="O","Other", "Unknown")))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3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>
        <f>IF(orders[[#This Row],[Customer Gender]]="M","Male",IF( orders[[#This Row],[Customer Gender]]="F","Female",IF( orders[[#This Row],[Customer Gender]]="O","Other", "Unknown")))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3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>
        <f>IF(orders[[#This Row],[Customer Gender]]="M","Male",IF( orders[[#This Row],[Customer Gender]]="F","Female",IF( orders[[#This Row],[Customer Gender]]="O","Other", "Unknown")))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3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>
        <f>IF(orders[[#This Row],[Customer Gender]]="M","Male",IF( orders[[#This Row],[Customer Gender]]="F","Female",IF( orders[[#This Row],[Customer Gender]]="O","Other", "Unknown")))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3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>
        <f>IF(orders[[#This Row],[Customer Gender]]="M","Male",IF( orders[[#This Row],[Customer Gender]]="F","Female",IF( orders[[#This Row],[Customer Gender]]="O","Other", "Unknown")))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3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>
        <f>IF(orders[[#This Row],[Customer Gender]]="M","Male",IF( orders[[#This Row],[Customer Gender]]="F","Female",IF( orders[[#This Row],[Customer Gender]]="O","Other", "Unknown")))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3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>
        <f>IF(orders[[#This Row],[Customer Gender]]="M","Male",IF( orders[[#This Row],[Customer Gender]]="F","Female",IF( orders[[#This Row],[Customer Gender]]="O","Other", "Unknown")))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3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>
        <f>IF(orders[[#This Row],[Customer Gender]]="M","Male",IF( orders[[#This Row],[Customer Gender]]="F","Female",IF( orders[[#This Row],[Customer Gender]]="O","Other", "Unknown")))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3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>
        <f>IF(orders[[#This Row],[Customer Gender]]="M","Male",IF( orders[[#This Row],[Customer Gender]]="F","Female",IF( orders[[#This Row],[Customer Gender]]="O","Other", "Unknown")))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3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>
        <f>IF(orders[[#This Row],[Customer Gender]]="M","Male",IF( orders[[#This Row],[Customer Gender]]="F","Female",IF( orders[[#This Row],[Customer Gender]]="O","Other", "Unknown")))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3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>
        <f>IF(orders[[#This Row],[Customer Gender]]="M","Male",IF( orders[[#This Row],[Customer Gender]]="F","Female",IF( orders[[#This Row],[Customer Gender]]="O","Other", "Unknown")))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3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>
        <f>IF(orders[[#This Row],[Customer Gender]]="M","Male",IF( orders[[#This Row],[Customer Gender]]="F","Female",IF( orders[[#This Row],[Customer Gender]]="O","Other", "Unknown")))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3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>
        <f>IF(orders[[#This Row],[Customer Gender]]="M","Male",IF( orders[[#This Row],[Customer Gender]]="F","Female",IF( orders[[#This Row],[Customer Gender]]="O","Other", "Unknown")))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3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>
        <f>IF(orders[[#This Row],[Customer Gender]]="M","Male",IF( orders[[#This Row],[Customer Gender]]="F","Female",IF( orders[[#This Row],[Customer Gender]]="O","Other", "Unknown")))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3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>
        <f>IF(orders[[#This Row],[Customer Gender]]="M","Male",IF( orders[[#This Row],[Customer Gender]]="F","Female",IF( orders[[#This Row],[Customer Gender]]="O","Other", "Unknown")))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3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>
        <f>IF(orders[[#This Row],[Customer Gender]]="M","Male",IF( orders[[#This Row],[Customer Gender]]="F","Female",IF( orders[[#This Row],[Customer Gender]]="O","Other", "Unknown")))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3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>
        <f>IF(orders[[#This Row],[Customer Gender]]="M","Male",IF( orders[[#This Row],[Customer Gender]]="F","Female",IF( orders[[#This Row],[Customer Gender]]="O","Other", "Unknown")))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3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>
        <f>IF(orders[[#This Row],[Customer Gender]]="M","Male",IF( orders[[#This Row],[Customer Gender]]="F","Female",IF( orders[[#This Row],[Customer Gender]]="O","Other", "Unknown")))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3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>
        <f>IF(orders[[#This Row],[Customer Gender]]="M","Male",IF( orders[[#This Row],[Customer Gender]]="F","Female",IF( orders[[#This Row],[Customer Gender]]="O","Other", "Unknown")))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3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>
        <f>IF(orders[[#This Row],[Customer Gender]]="M","Male",IF( orders[[#This Row],[Customer Gender]]="F","Female",IF( orders[[#This Row],[Customer Gender]]="O","Other", "Unknown")))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3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>
        <f>IF(orders[[#This Row],[Customer Gender]]="M","Male",IF( orders[[#This Row],[Customer Gender]]="F","Female",IF( orders[[#This Row],[Customer Gender]]="O","Other", "Unknown")))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3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>
        <f>IF(orders[[#This Row],[Customer Gender]]="M","Male",IF( orders[[#This Row],[Customer Gender]]="F","Female",IF( orders[[#This Row],[Customer Gender]]="O","Other", "Unknown")))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3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>
        <f>IF(orders[[#This Row],[Customer Gender]]="M","Male",IF( orders[[#This Row],[Customer Gender]]="F","Female",IF( orders[[#This Row],[Customer Gender]]="O","Other", "Unknown")))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3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>
        <f>IF(orders[[#This Row],[Customer Gender]]="M","Male",IF( orders[[#This Row],[Customer Gender]]="F","Female",IF( orders[[#This Row],[Customer Gender]]="O","Other", "Unknown")))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3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>
        <f>IF(orders[[#This Row],[Customer Gender]]="M","Male",IF( orders[[#This Row],[Customer Gender]]="F","Female",IF( orders[[#This Row],[Customer Gender]]="O","Other", "Unknown")))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3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>
        <f>IF(orders[[#This Row],[Customer Gender]]="M","Male",IF( orders[[#This Row],[Customer Gender]]="F","Female",IF( orders[[#This Row],[Customer Gender]]="O","Other", "Unknown")))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3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>
        <f>IF(orders[[#This Row],[Customer Gender]]="M","Male",IF( orders[[#This Row],[Customer Gender]]="F","Female",IF( orders[[#This Row],[Customer Gender]]="O","Other", "Unknown")))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3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>
        <f>IF(orders[[#This Row],[Customer Gender]]="M","Male",IF( orders[[#This Row],[Customer Gender]]="F","Female",IF( orders[[#This Row],[Customer Gender]]="O","Other", "Unknown")))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3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>
        <f>IF(orders[[#This Row],[Customer Gender]]="M","Male",IF( orders[[#This Row],[Customer Gender]]="F","Female",IF( orders[[#This Row],[Customer Gender]]="O","Other", "Unknown")))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3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>
        <f>IF(orders[[#This Row],[Customer Gender]]="M","Male",IF( orders[[#This Row],[Customer Gender]]="F","Female",IF( orders[[#This Row],[Customer Gender]]="O","Other", "Unknown")))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3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>
        <f>IF(orders[[#This Row],[Customer Gender]]="M","Male",IF( orders[[#This Row],[Customer Gender]]="F","Female",IF( orders[[#This Row],[Customer Gender]]="O","Other", "Unknown")))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3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>
        <f>IF(orders[[#This Row],[Customer Gender]]="M","Male",IF( orders[[#This Row],[Customer Gender]]="F","Female",IF( orders[[#This Row],[Customer Gender]]="O","Other", "Unknown")))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3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>
        <f>IF(orders[[#This Row],[Customer Gender]]="M","Male",IF( orders[[#This Row],[Customer Gender]]="F","Female",IF( orders[[#This Row],[Customer Gender]]="O","Other", "Unknown")))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3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>
        <f>IF(orders[[#This Row],[Customer Gender]]="M","Male",IF( orders[[#This Row],[Customer Gender]]="F","Female",IF( orders[[#This Row],[Customer Gender]]="O","Other", "Unknown")))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3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>
        <f>IF(orders[[#This Row],[Customer Gender]]="M","Male",IF( orders[[#This Row],[Customer Gender]]="F","Female",IF( orders[[#This Row],[Customer Gender]]="O","Other", "Unknown")))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3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>
        <f>IF(orders[[#This Row],[Customer Gender]]="M","Male",IF( orders[[#This Row],[Customer Gender]]="F","Female",IF( orders[[#This Row],[Customer Gender]]="O","Other", "Unknown")))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3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>
        <f>IF(orders[[#This Row],[Customer Gender]]="M","Male",IF( orders[[#This Row],[Customer Gender]]="F","Female",IF( orders[[#This Row],[Customer Gender]]="O","Other", "Unknown")))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3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>
        <f>IF(orders[[#This Row],[Customer Gender]]="M","Male",IF( orders[[#This Row],[Customer Gender]]="F","Female",IF( orders[[#This Row],[Customer Gender]]="O","Other", "Unknown")))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3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>
        <f>IF(orders[[#This Row],[Customer Gender]]="M","Male",IF( orders[[#This Row],[Customer Gender]]="F","Female",IF( orders[[#This Row],[Customer Gender]]="O","Other", "Unknown")))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3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>
        <f>IF(orders[[#This Row],[Customer Gender]]="M","Male",IF( orders[[#This Row],[Customer Gender]]="F","Female",IF( orders[[#This Row],[Customer Gender]]="O","Other", "Unknown")))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3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>
        <f>IF(orders[[#This Row],[Customer Gender]]="M","Male",IF( orders[[#This Row],[Customer Gender]]="F","Female",IF( orders[[#This Row],[Customer Gender]]="O","Other", "Unknown")))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3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>
        <f>IF(orders[[#This Row],[Customer Gender]]="M","Male",IF( orders[[#This Row],[Customer Gender]]="F","Female",IF( orders[[#This Row],[Customer Gender]]="O","Other", "Unknown")))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3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>
        <f>IF(orders[[#This Row],[Customer Gender]]="M","Male",IF( orders[[#This Row],[Customer Gender]]="F","Female",IF( orders[[#This Row],[Customer Gender]]="O","Other", "Unknown")))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3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>
        <f>IF(orders[[#This Row],[Customer Gender]]="M","Male",IF( orders[[#This Row],[Customer Gender]]="F","Female",IF( orders[[#This Row],[Customer Gender]]="O","Other", "Unknown")))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3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>
        <f>IF(orders[[#This Row],[Customer Gender]]="M","Male",IF( orders[[#This Row],[Customer Gender]]="F","Female",IF( orders[[#This Row],[Customer Gender]]="O","Other", "Unknown")))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3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>
        <f>IF(orders[[#This Row],[Customer Gender]]="M","Male",IF( orders[[#This Row],[Customer Gender]]="F","Female",IF( orders[[#This Row],[Customer Gender]]="O","Other", "Unknown")))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3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>
        <f>IF(orders[[#This Row],[Customer Gender]]="M","Male",IF( orders[[#This Row],[Customer Gender]]="F","Female",IF( orders[[#This Row],[Customer Gender]]="O","Other", "Unknown")))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3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>
        <f>IF(orders[[#This Row],[Customer Gender]]="M","Male",IF( orders[[#This Row],[Customer Gender]]="F","Female",IF( orders[[#This Row],[Customer Gender]]="O","Other", "Unknown")))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3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>
        <f>IF(orders[[#This Row],[Customer Gender]]="M","Male",IF( orders[[#This Row],[Customer Gender]]="F","Female",IF( orders[[#This Row],[Customer Gender]]="O","Other", "Unknown")))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3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>
        <f>IF(orders[[#This Row],[Customer Gender]]="M","Male",IF( orders[[#This Row],[Customer Gender]]="F","Female",IF( orders[[#This Row],[Customer Gender]]="O","Other", "Unknown")))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3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>
        <f>IF(orders[[#This Row],[Customer Gender]]="M","Male",IF( orders[[#This Row],[Customer Gender]]="F","Female",IF( orders[[#This Row],[Customer Gender]]="O","Other", "Unknown")))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3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>
        <f>IF(orders[[#This Row],[Customer Gender]]="M","Male",IF( orders[[#This Row],[Customer Gender]]="F","Female",IF( orders[[#This Row],[Customer Gender]]="O","Other", "Unknown")))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3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>
        <f>IF(orders[[#This Row],[Customer Gender]]="M","Male",IF( orders[[#This Row],[Customer Gender]]="F","Female",IF( orders[[#This Row],[Customer Gender]]="O","Other", "Unknown")))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3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>
        <f>IF(orders[[#This Row],[Customer Gender]]="M","Male",IF( orders[[#This Row],[Customer Gender]]="F","Female",IF( orders[[#This Row],[Customer Gender]]="O","Other", "Unknown")))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3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>
        <f>IF(orders[[#This Row],[Customer Gender]]="M","Male",IF( orders[[#This Row],[Customer Gender]]="F","Female",IF( orders[[#This Row],[Customer Gender]]="O","Other", "Unknown")))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3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>
        <f>IF(orders[[#This Row],[Customer Gender]]="M","Male",IF( orders[[#This Row],[Customer Gender]]="F","Female",IF( orders[[#This Row],[Customer Gender]]="O","Other", "Unknown")))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3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>
        <f>IF(orders[[#This Row],[Customer Gender]]="M","Male",IF( orders[[#This Row],[Customer Gender]]="F","Female",IF( orders[[#This Row],[Customer Gender]]="O","Other", "Unknown")))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3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>
        <f>IF(orders[[#This Row],[Customer Gender]]="M","Male",IF( orders[[#This Row],[Customer Gender]]="F","Female",IF( orders[[#This Row],[Customer Gender]]="O","Other", "Unknown")))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3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>
        <f>IF(orders[[#This Row],[Customer Gender]]="M","Male",IF( orders[[#This Row],[Customer Gender]]="F","Female",IF( orders[[#This Row],[Customer Gender]]="O","Other", "Unknown")))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3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>
        <f>IF(orders[[#This Row],[Customer Gender]]="M","Male",IF( orders[[#This Row],[Customer Gender]]="F","Female",IF( orders[[#This Row],[Customer Gender]]="O","Other", "Unknown")))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3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>
        <f>IF(orders[[#This Row],[Customer Gender]]="M","Male",IF( orders[[#This Row],[Customer Gender]]="F","Female",IF( orders[[#This Row],[Customer Gender]]="O","Other", "Unknown")))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3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>
        <f>IF(orders[[#This Row],[Customer Gender]]="M","Male",IF( orders[[#This Row],[Customer Gender]]="F","Female",IF( orders[[#This Row],[Customer Gender]]="O","Other", "Unknown")))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3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>
        <f>IF(orders[[#This Row],[Customer Gender]]="M","Male",IF( orders[[#This Row],[Customer Gender]]="F","Female",IF( orders[[#This Row],[Customer Gender]]="O","Other", "Unknown")))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3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>
        <f>IF(orders[[#This Row],[Customer Gender]]="M","Male",IF( orders[[#This Row],[Customer Gender]]="F","Female",IF( orders[[#This Row],[Customer Gender]]="O","Other", "Unknown")))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3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>
        <f>IF(orders[[#This Row],[Customer Gender]]="M","Male",IF( orders[[#This Row],[Customer Gender]]="F","Female",IF( orders[[#This Row],[Customer Gender]]="O","Other", "Unknown")))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3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>
        <f>IF(orders[[#This Row],[Customer Gender]]="M","Male",IF( orders[[#This Row],[Customer Gender]]="F","Female",IF( orders[[#This Row],[Customer Gender]]="O","Other", "Unknown")))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3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>
        <f>IF(orders[[#This Row],[Customer Gender]]="M","Male",IF( orders[[#This Row],[Customer Gender]]="F","Female",IF( orders[[#This Row],[Customer Gender]]="O","Other", "Unknown")))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3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>
        <f>IF(orders[[#This Row],[Customer Gender]]="M","Male",IF( orders[[#This Row],[Customer Gender]]="F","Female",IF( orders[[#This Row],[Customer Gender]]="O","Other", "Unknown")))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3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>
        <f>IF(orders[[#This Row],[Customer Gender]]="M","Male",IF( orders[[#This Row],[Customer Gender]]="F","Female",IF( orders[[#This Row],[Customer Gender]]="O","Other", "Unknown")))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3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>
        <f>IF(orders[[#This Row],[Customer Gender]]="M","Male",IF( orders[[#This Row],[Customer Gender]]="F","Female",IF( orders[[#This Row],[Customer Gender]]="O","Other", "Unknown")))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3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>
        <f>IF(orders[[#This Row],[Customer Gender]]="M","Male",IF( orders[[#This Row],[Customer Gender]]="F","Female",IF( orders[[#This Row],[Customer Gender]]="O","Other", "Unknown")))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3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>
        <f>IF(orders[[#This Row],[Customer Gender]]="M","Male",IF( orders[[#This Row],[Customer Gender]]="F","Female",IF( orders[[#This Row],[Customer Gender]]="O","Other", "Unknown")))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3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>
        <f>IF(orders[[#This Row],[Customer Gender]]="M","Male",IF( orders[[#This Row],[Customer Gender]]="F","Female",IF( orders[[#This Row],[Customer Gender]]="O","Other", "Unknown")))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3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>
        <f>IF(orders[[#This Row],[Customer Gender]]="M","Male",IF( orders[[#This Row],[Customer Gender]]="F","Female",IF( orders[[#This Row],[Customer Gender]]="O","Other", "Unknown")))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3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>
        <f>IF(orders[[#This Row],[Customer Gender]]="M","Male",IF( orders[[#This Row],[Customer Gender]]="F","Female",IF( orders[[#This Row],[Customer Gender]]="O","Other", "Unknown")))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3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>
        <f>IF(orders[[#This Row],[Customer Gender]]="M","Male",IF( orders[[#This Row],[Customer Gender]]="F","Female",IF( orders[[#This Row],[Customer Gender]]="O","Other", "Unknown")))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3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>
        <f>IF(orders[[#This Row],[Customer Gender]]="M","Male",IF( orders[[#This Row],[Customer Gender]]="F","Female",IF( orders[[#This Row],[Customer Gender]]="O","Other", "Unknown")))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3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>
        <f>IF(orders[[#This Row],[Customer Gender]]="M","Male",IF( orders[[#This Row],[Customer Gender]]="F","Female",IF( orders[[#This Row],[Customer Gender]]="O","Other", "Unknown")))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3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>
        <f>IF(orders[[#This Row],[Customer Gender]]="M","Male",IF( orders[[#This Row],[Customer Gender]]="F","Female",IF( orders[[#This Row],[Customer Gender]]="O","Other", "Unknown")))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3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>
        <f>IF(orders[[#This Row],[Customer Gender]]="M","Male",IF( orders[[#This Row],[Customer Gender]]="F","Female",IF( orders[[#This Row],[Customer Gender]]="O","Other", "Unknown")))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3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>
        <f>IF(orders[[#This Row],[Customer Gender]]="M","Male",IF( orders[[#This Row],[Customer Gender]]="F","Female",IF( orders[[#This Row],[Customer Gender]]="O","Other", "Unknown")))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3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>
        <f>IF(orders[[#This Row],[Customer Gender]]="M","Male",IF( orders[[#This Row],[Customer Gender]]="F","Female",IF( orders[[#This Row],[Customer Gender]]="O","Other", "Unknown")))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3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>
        <f>IF(orders[[#This Row],[Customer Gender]]="M","Male",IF( orders[[#This Row],[Customer Gender]]="F","Female",IF( orders[[#This Row],[Customer Gender]]="O","Other", "Unknown")))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3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>
        <f>IF(orders[[#This Row],[Customer Gender]]="M","Male",IF( orders[[#This Row],[Customer Gender]]="F","Female",IF( orders[[#This Row],[Customer Gender]]="O","Other", "Unknown")))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3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>
        <f>IF(orders[[#This Row],[Customer Gender]]="M","Male",IF( orders[[#This Row],[Customer Gender]]="F","Female",IF( orders[[#This Row],[Customer Gender]]="O","Other", "Unknown")))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3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>
        <f>IF(orders[[#This Row],[Customer Gender]]="M","Male",IF( orders[[#This Row],[Customer Gender]]="F","Female",IF( orders[[#This Row],[Customer Gender]]="O","Other", "Unknown")))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3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>
        <f>IF(orders[[#This Row],[Customer Gender]]="M","Male",IF( orders[[#This Row],[Customer Gender]]="F","Female",IF( orders[[#This Row],[Customer Gender]]="O","Other", "Unknown")))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3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>
        <f>IF(orders[[#This Row],[Customer Gender]]="M","Male",IF( orders[[#This Row],[Customer Gender]]="F","Female",IF( orders[[#This Row],[Customer Gender]]="O","Other", "Unknown")))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3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>
        <f>IF(orders[[#This Row],[Customer Gender]]="M","Male",IF( orders[[#This Row],[Customer Gender]]="F","Female",IF( orders[[#This Row],[Customer Gender]]="O","Other", "Unknown")))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3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>
        <f>IF(orders[[#This Row],[Customer Gender]]="M","Male",IF( orders[[#This Row],[Customer Gender]]="F","Female",IF( orders[[#This Row],[Customer Gender]]="O","Other", "Unknown")))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3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>
        <f>IF(orders[[#This Row],[Customer Gender]]="M","Male",IF( orders[[#This Row],[Customer Gender]]="F","Female",IF( orders[[#This Row],[Customer Gender]]="O","Other", "Unknown")))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3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>
        <f>IF(orders[[#This Row],[Customer Gender]]="M","Male",IF( orders[[#This Row],[Customer Gender]]="F","Female",IF( orders[[#This Row],[Customer Gender]]="O","Other", "Unknown")))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3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>
        <f>IF(orders[[#This Row],[Customer Gender]]="M","Male",IF( orders[[#This Row],[Customer Gender]]="F","Female",IF( orders[[#This Row],[Customer Gender]]="O","Other", "Unknown")))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3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>
        <f>IF(orders[[#This Row],[Customer Gender]]="M","Male",IF( orders[[#This Row],[Customer Gender]]="F","Female",IF( orders[[#This Row],[Customer Gender]]="O","Other", "Unknown")))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3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>
        <f>IF(orders[[#This Row],[Customer Gender]]="M","Male",IF( orders[[#This Row],[Customer Gender]]="F","Female",IF( orders[[#This Row],[Customer Gender]]="O","Other", "Unknown")))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3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>
        <f>IF(orders[[#This Row],[Customer Gender]]="M","Male",IF( orders[[#This Row],[Customer Gender]]="F","Female",IF( orders[[#This Row],[Customer Gender]]="O","Other", "Unknown")))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3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>
        <f>IF(orders[[#This Row],[Customer Gender]]="M","Male",IF( orders[[#This Row],[Customer Gender]]="F","Female",IF( orders[[#This Row],[Customer Gender]]="O","Other", "Unknown")))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3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>
        <f>IF(orders[[#This Row],[Customer Gender]]="M","Male",IF( orders[[#This Row],[Customer Gender]]="F","Female",IF( orders[[#This Row],[Customer Gender]]="O","Other", "Unknown")))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3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>
        <f>IF(orders[[#This Row],[Customer Gender]]="M","Male",IF( orders[[#This Row],[Customer Gender]]="F","Female",IF( orders[[#This Row],[Customer Gender]]="O","Other", "Unknown")))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3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>
        <f>IF(orders[[#This Row],[Customer Gender]]="M","Male",IF( orders[[#This Row],[Customer Gender]]="F","Female",IF( orders[[#This Row],[Customer Gender]]="O","Other", "Unknown")))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3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>
        <f>IF(orders[[#This Row],[Customer Gender]]="M","Male",IF( orders[[#This Row],[Customer Gender]]="F","Female",IF( orders[[#This Row],[Customer Gender]]="O","Other", "Unknown")))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3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>
        <f>IF(orders[[#This Row],[Customer Gender]]="M","Male",IF( orders[[#This Row],[Customer Gender]]="F","Female",IF( orders[[#This Row],[Customer Gender]]="O","Other", "Unknown")))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3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>
        <f>IF(orders[[#This Row],[Customer Gender]]="M","Male",IF( orders[[#This Row],[Customer Gender]]="F","Female",IF( orders[[#This Row],[Customer Gender]]="O","Other", "Unknown")))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3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>
        <f>IF(orders[[#This Row],[Customer Gender]]="M","Male",IF( orders[[#This Row],[Customer Gender]]="F","Female",IF( orders[[#This Row],[Customer Gender]]="O","Other", "Unknown")))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3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>
        <f>IF(orders[[#This Row],[Customer Gender]]="M","Male",IF( orders[[#This Row],[Customer Gender]]="F","Female",IF( orders[[#This Row],[Customer Gender]]="O","Other", "Unknown")))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3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>
        <f>IF(orders[[#This Row],[Customer Gender]]="M","Male",IF( orders[[#This Row],[Customer Gender]]="F","Female",IF( orders[[#This Row],[Customer Gender]]="O","Other", "Unknown")))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3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>
        <f>IF(orders[[#This Row],[Customer Gender]]="M","Male",IF( orders[[#This Row],[Customer Gender]]="F","Female",IF( orders[[#This Row],[Customer Gender]]="O","Other", "Unknown")))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3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>
        <f>IF(orders[[#This Row],[Customer Gender]]="M","Male",IF( orders[[#This Row],[Customer Gender]]="F","Female",IF( orders[[#This Row],[Customer Gender]]="O","Other", "Unknown")))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3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>
        <f>IF(orders[[#This Row],[Customer Gender]]="M","Male",IF( orders[[#This Row],[Customer Gender]]="F","Female",IF( orders[[#This Row],[Customer Gender]]="O","Other", "Unknown")))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3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>
        <f>IF(orders[[#This Row],[Customer Gender]]="M","Male",IF( orders[[#This Row],[Customer Gender]]="F","Female",IF( orders[[#This Row],[Customer Gender]]="O","Other", "Unknown")))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3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>
        <f>IF(orders[[#This Row],[Customer Gender]]="M","Male",IF( orders[[#This Row],[Customer Gender]]="F","Female",IF( orders[[#This Row],[Customer Gender]]="O","Other", "Unknown")))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3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>
        <f>IF(orders[[#This Row],[Customer Gender]]="M","Male",IF( orders[[#This Row],[Customer Gender]]="F","Female",IF( orders[[#This Row],[Customer Gender]]="O","Other", "Unknown")))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3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>
        <f>IF(orders[[#This Row],[Customer Gender]]="M","Male",IF( orders[[#This Row],[Customer Gender]]="F","Female",IF( orders[[#This Row],[Customer Gender]]="O","Other", "Unknown")))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3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>
        <f>IF(orders[[#This Row],[Customer Gender]]="M","Male",IF( orders[[#This Row],[Customer Gender]]="F","Female",IF( orders[[#This Row],[Customer Gender]]="O","Other", "Unknown")))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3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>
        <f>IF(orders[[#This Row],[Customer Gender]]="M","Male",IF( orders[[#This Row],[Customer Gender]]="F","Female",IF( orders[[#This Row],[Customer Gender]]="O","Other", "Unknown")))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3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>
        <f>IF(orders[[#This Row],[Customer Gender]]="M","Male",IF( orders[[#This Row],[Customer Gender]]="F","Female",IF( orders[[#This Row],[Customer Gender]]="O","Other", "Unknown")))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3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>
        <f>IF(orders[[#This Row],[Customer Gender]]="M","Male",IF( orders[[#This Row],[Customer Gender]]="F","Female",IF( orders[[#This Row],[Customer Gender]]="O","Other", "Unknown")))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3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>
        <f>IF(orders[[#This Row],[Customer Gender]]="M","Male",IF( orders[[#This Row],[Customer Gender]]="F","Female",IF( orders[[#This Row],[Customer Gender]]="O","Other", "Unknown")))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3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>
        <f>IF(orders[[#This Row],[Customer Gender]]="M","Male",IF( orders[[#This Row],[Customer Gender]]="F","Female",IF( orders[[#This Row],[Customer Gender]]="O","Other", "Unknown")))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3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>
        <f>IF(orders[[#This Row],[Customer Gender]]="M","Male",IF( orders[[#This Row],[Customer Gender]]="F","Female",IF( orders[[#This Row],[Customer Gender]]="O","Other", "Unknown")))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3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>
        <f>IF(orders[[#This Row],[Customer Gender]]="M","Male",IF( orders[[#This Row],[Customer Gender]]="F","Female",IF( orders[[#This Row],[Customer Gender]]="O","Other", "Unknown")))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3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>
        <f>IF(orders[[#This Row],[Customer Gender]]="M","Male",IF( orders[[#This Row],[Customer Gender]]="F","Female",IF( orders[[#This Row],[Customer Gender]]="O","Other", "Unknown")))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3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>
        <f>IF(orders[[#This Row],[Customer Gender]]="M","Male",IF( orders[[#This Row],[Customer Gender]]="F","Female",IF( orders[[#This Row],[Customer Gender]]="O","Other", "Unknown")))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3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>
        <f>IF(orders[[#This Row],[Customer Gender]]="M","Male",IF( orders[[#This Row],[Customer Gender]]="F","Female",IF( orders[[#This Row],[Customer Gender]]="O","Other", "Unknown")))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3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>
        <f>IF(orders[[#This Row],[Customer Gender]]="M","Male",IF( orders[[#This Row],[Customer Gender]]="F","Female",IF( orders[[#This Row],[Customer Gender]]="O","Other", "Unknown")))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3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>
        <f>IF(orders[[#This Row],[Customer Gender]]="M","Male",IF( orders[[#This Row],[Customer Gender]]="F","Female",IF( orders[[#This Row],[Customer Gender]]="O","Other", "Unknown")))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3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>
        <f>IF(orders[[#This Row],[Customer Gender]]="M","Male",IF( orders[[#This Row],[Customer Gender]]="F","Female",IF( orders[[#This Row],[Customer Gender]]="O","Other", "Unknown")))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3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>
        <f>IF(orders[[#This Row],[Customer Gender]]="M","Male",IF( orders[[#This Row],[Customer Gender]]="F","Female",IF( orders[[#This Row],[Customer Gender]]="O","Other", "Unknown")))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3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>
        <f>IF(orders[[#This Row],[Customer Gender]]="M","Male",IF( orders[[#This Row],[Customer Gender]]="F","Female",IF( orders[[#This Row],[Customer Gender]]="O","Other", "Unknown")))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3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>
        <f>IF(orders[[#This Row],[Customer Gender]]="M","Male",IF( orders[[#This Row],[Customer Gender]]="F","Female",IF( orders[[#This Row],[Customer Gender]]="O","Other", "Unknown")))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3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>
        <f>IF(orders[[#This Row],[Customer Gender]]="M","Male",IF( orders[[#This Row],[Customer Gender]]="F","Female",IF( orders[[#This Row],[Customer Gender]]="O","Other", "Unknown")))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3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>
        <f>IF(orders[[#This Row],[Customer Gender]]="M","Male",IF( orders[[#This Row],[Customer Gender]]="F","Female",IF( orders[[#This Row],[Customer Gender]]="O","Other", "Unknown")))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3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>
        <f>IF(orders[[#This Row],[Customer Gender]]="M","Male",IF( orders[[#This Row],[Customer Gender]]="F","Female",IF( orders[[#This Row],[Customer Gender]]="O","Other", "Unknown")))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3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>
        <f>IF(orders[[#This Row],[Customer Gender]]="M","Male",IF( orders[[#This Row],[Customer Gender]]="F","Female",IF( orders[[#This Row],[Customer Gender]]="O","Other", "Unknown")))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3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>
        <f>IF(orders[[#This Row],[Customer Gender]]="M","Male",IF( orders[[#This Row],[Customer Gender]]="F","Female",IF( orders[[#This Row],[Customer Gender]]="O","Other", "Unknown")))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3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>
        <f>IF(orders[[#This Row],[Customer Gender]]="M","Male",IF( orders[[#This Row],[Customer Gender]]="F","Female",IF( orders[[#This Row],[Customer Gender]]="O","Other", "Unknown")))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3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>
        <f>IF(orders[[#This Row],[Customer Gender]]="M","Male",IF( orders[[#This Row],[Customer Gender]]="F","Female",IF( orders[[#This Row],[Customer Gender]]="O","Other", "Unknown")))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3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>
        <f>IF(orders[[#This Row],[Customer Gender]]="M","Male",IF( orders[[#This Row],[Customer Gender]]="F","Female",IF( orders[[#This Row],[Customer Gender]]="O","Other", "Unknown")))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3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>
        <f>IF(orders[[#This Row],[Customer Gender]]="M","Male",IF( orders[[#This Row],[Customer Gender]]="F","Female",IF( orders[[#This Row],[Customer Gender]]="O","Other", "Unknown")))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3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>
        <f>IF(orders[[#This Row],[Customer Gender]]="M","Male",IF( orders[[#This Row],[Customer Gender]]="F","Female",IF( orders[[#This Row],[Customer Gender]]="O","Other", "Unknown")))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3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>
        <f>IF(orders[[#This Row],[Customer Gender]]="M","Male",IF( orders[[#This Row],[Customer Gender]]="F","Female",IF( orders[[#This Row],[Customer Gender]]="O","Other", "Unknown")))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3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>
        <f>IF(orders[[#This Row],[Customer Gender]]="M","Male",IF( orders[[#This Row],[Customer Gender]]="F","Female",IF( orders[[#This Row],[Customer Gender]]="O","Other", "Unknown")))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3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>
        <f>IF(orders[[#This Row],[Customer Gender]]="M","Male",IF( orders[[#This Row],[Customer Gender]]="F","Female",IF( orders[[#This Row],[Customer Gender]]="O","Other", "Unknown")))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3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>
        <f>IF(orders[[#This Row],[Customer Gender]]="M","Male",IF( orders[[#This Row],[Customer Gender]]="F","Female",IF( orders[[#This Row],[Customer Gender]]="O","Other", "Unknown")))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3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>
        <f>IF(orders[[#This Row],[Customer Gender]]="M","Male",IF( orders[[#This Row],[Customer Gender]]="F","Female",IF( orders[[#This Row],[Customer Gender]]="O","Other", "Unknown")))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3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>
        <f>IF(orders[[#This Row],[Customer Gender]]="M","Male",IF( orders[[#This Row],[Customer Gender]]="F","Female",IF( orders[[#This Row],[Customer Gender]]="O","Other", "Unknown")))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3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>
        <f>IF(orders[[#This Row],[Customer Gender]]="M","Male",IF( orders[[#This Row],[Customer Gender]]="F","Female",IF( orders[[#This Row],[Customer Gender]]="O","Other", "Unknown")))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3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>
        <f>IF(orders[[#This Row],[Customer Gender]]="M","Male",IF( orders[[#This Row],[Customer Gender]]="F","Female",IF( orders[[#This Row],[Customer Gender]]="O","Other", "Unknown")))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3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>
        <f>IF(orders[[#This Row],[Customer Gender]]="M","Male",IF( orders[[#This Row],[Customer Gender]]="F","Female",IF( orders[[#This Row],[Customer Gender]]="O","Other", "Unknown")))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3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>
        <f>IF(orders[[#This Row],[Customer Gender]]="M","Male",IF( orders[[#This Row],[Customer Gender]]="F","Female",IF( orders[[#This Row],[Customer Gender]]="O","Other", "Unknown")))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3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>
        <f>IF(orders[[#This Row],[Customer Gender]]="M","Male",IF( orders[[#This Row],[Customer Gender]]="F","Female",IF( orders[[#This Row],[Customer Gender]]="O","Other", "Unknown")))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3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>
        <f>IF(orders[[#This Row],[Customer Gender]]="M","Male",IF( orders[[#This Row],[Customer Gender]]="F","Female",IF( orders[[#This Row],[Customer Gender]]="O","Other", "Unknown")))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3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>
        <f>IF(orders[[#This Row],[Customer Gender]]="M","Male",IF( orders[[#This Row],[Customer Gender]]="F","Female",IF( orders[[#This Row],[Customer Gender]]="O","Other", "Unknown")))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3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>
        <f>IF(orders[[#This Row],[Customer Gender]]="M","Male",IF( orders[[#This Row],[Customer Gender]]="F","Female",IF( orders[[#This Row],[Customer Gender]]="O","Other", "Unknown")))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3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>
        <f>IF(orders[[#This Row],[Customer Gender]]="M","Male",IF( orders[[#This Row],[Customer Gender]]="F","Female",IF( orders[[#This Row],[Customer Gender]]="O","Other", "Unknown")))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3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>
        <f>IF(orders[[#This Row],[Customer Gender]]="M","Male",IF( orders[[#This Row],[Customer Gender]]="F","Female",IF( orders[[#This Row],[Customer Gender]]="O","Other", "Unknown")))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3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>
        <f>IF(orders[[#This Row],[Customer Gender]]="M","Male",IF( orders[[#This Row],[Customer Gender]]="F","Female",IF( orders[[#This Row],[Customer Gender]]="O","Other", "Unknown")))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3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>
        <f>IF(orders[[#This Row],[Customer Gender]]="M","Male",IF( orders[[#This Row],[Customer Gender]]="F","Female",IF( orders[[#This Row],[Customer Gender]]="O","Other", "Unknown")))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3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>
        <f>IF(orders[[#This Row],[Customer Gender]]="M","Male",IF( orders[[#This Row],[Customer Gender]]="F","Female",IF( orders[[#This Row],[Customer Gender]]="O","Other", "Unknown")))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3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>
        <f>IF(orders[[#This Row],[Customer Gender]]="M","Male",IF( orders[[#This Row],[Customer Gender]]="F","Female",IF( orders[[#This Row],[Customer Gender]]="O","Other", "Unknown")))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3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>
        <f>IF(orders[[#This Row],[Customer Gender]]="M","Male",IF( orders[[#This Row],[Customer Gender]]="F","Female",IF( orders[[#This Row],[Customer Gender]]="O","Other", "Unknown")))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3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>
        <f>IF(orders[[#This Row],[Customer Gender]]="M","Male",IF( orders[[#This Row],[Customer Gender]]="F","Female",IF( orders[[#This Row],[Customer Gender]]="O","Other", "Unknown")))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3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>
        <f>IF(orders[[#This Row],[Customer Gender]]="M","Male",IF( orders[[#This Row],[Customer Gender]]="F","Female",IF( orders[[#This Row],[Customer Gender]]="O","Other", "Unknown")))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3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>
        <f>IF(orders[[#This Row],[Customer Gender]]="M","Male",IF( orders[[#This Row],[Customer Gender]]="F","Female",IF( orders[[#This Row],[Customer Gender]]="O","Other", "Unknown")))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3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>
        <f>IF(orders[[#This Row],[Customer Gender]]="M","Male",IF( orders[[#This Row],[Customer Gender]]="F","Female",IF( orders[[#This Row],[Customer Gender]]="O","Other", "Unknown")))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3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>
        <f>IF(orders[[#This Row],[Customer Gender]]="M","Male",IF( orders[[#This Row],[Customer Gender]]="F","Female",IF( orders[[#This Row],[Customer Gender]]="O","Other", "Unknown")))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3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>
        <f>IF(orders[[#This Row],[Customer Gender]]="M","Male",IF( orders[[#This Row],[Customer Gender]]="F","Female",IF( orders[[#This Row],[Customer Gender]]="O","Other", "Unknown")))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3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>
        <f>IF(orders[[#This Row],[Customer Gender]]="M","Male",IF( orders[[#This Row],[Customer Gender]]="F","Female",IF( orders[[#This Row],[Customer Gender]]="O","Other", "Unknown")))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3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>
        <f>IF(orders[[#This Row],[Customer Gender]]="M","Male",IF( orders[[#This Row],[Customer Gender]]="F","Female",IF( orders[[#This Row],[Customer Gender]]="O","Other", "Unknown")))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3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>
        <f>IF(orders[[#This Row],[Customer Gender]]="M","Male",IF( orders[[#This Row],[Customer Gender]]="F","Female",IF( orders[[#This Row],[Customer Gender]]="O","Other", "Unknown")))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3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>
        <f>IF(orders[[#This Row],[Customer Gender]]="M","Male",IF( orders[[#This Row],[Customer Gender]]="F","Female",IF( orders[[#This Row],[Customer Gender]]="O","Other", "Unknown")))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3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>
        <f>IF(orders[[#This Row],[Customer Gender]]="M","Male",IF( orders[[#This Row],[Customer Gender]]="F","Female",IF( orders[[#This Row],[Customer Gender]]="O","Other", "Unknown")))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3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>
        <f>IF(orders[[#This Row],[Customer Gender]]="M","Male",IF( orders[[#This Row],[Customer Gender]]="F","Female",IF( orders[[#This Row],[Customer Gender]]="O","Other", "Unknown")))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3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>
        <f>IF(orders[[#This Row],[Customer Gender]]="M","Male",IF( orders[[#This Row],[Customer Gender]]="F","Female",IF( orders[[#This Row],[Customer Gender]]="O","Other", "Unknown")))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3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>
        <f>IF(orders[[#This Row],[Customer Gender]]="M","Male",IF( orders[[#This Row],[Customer Gender]]="F","Female",IF( orders[[#This Row],[Customer Gender]]="O","Other", "Unknown")))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3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>
        <f>IF(orders[[#This Row],[Customer Gender]]="M","Male",IF( orders[[#This Row],[Customer Gender]]="F","Female",IF( orders[[#This Row],[Customer Gender]]="O","Other", "Unknown")))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3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>
        <f>IF(orders[[#This Row],[Customer Gender]]="M","Male",IF( orders[[#This Row],[Customer Gender]]="F","Female",IF( orders[[#This Row],[Customer Gender]]="O","Other", "Unknown")))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3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>
        <f>IF(orders[[#This Row],[Customer Gender]]="M","Male",IF( orders[[#This Row],[Customer Gender]]="F","Female",IF( orders[[#This Row],[Customer Gender]]="O","Other", "Unknown")))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3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>
        <f>IF(orders[[#This Row],[Customer Gender]]="M","Male",IF( orders[[#This Row],[Customer Gender]]="F","Female",IF( orders[[#This Row],[Customer Gender]]="O","Other", "Unknown")))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3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>
        <f>IF(orders[[#This Row],[Customer Gender]]="M","Male",IF( orders[[#This Row],[Customer Gender]]="F","Female",IF( orders[[#This Row],[Customer Gender]]="O","Other", "Unknown")))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3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>
        <f>IF(orders[[#This Row],[Customer Gender]]="M","Male",IF( orders[[#This Row],[Customer Gender]]="F","Female",IF( orders[[#This Row],[Customer Gender]]="O","Other", "Unknown")))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3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>
        <f>IF(orders[[#This Row],[Customer Gender]]="M","Male",IF( orders[[#This Row],[Customer Gender]]="F","Female",IF( orders[[#This Row],[Customer Gender]]="O","Other", "Unknown")))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3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>
        <f>IF(orders[[#This Row],[Customer Gender]]="M","Male",IF( orders[[#This Row],[Customer Gender]]="F","Female",IF( orders[[#This Row],[Customer Gender]]="O","Other", "Unknown")))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3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>
        <f>IF(orders[[#This Row],[Customer Gender]]="M","Male",IF( orders[[#This Row],[Customer Gender]]="F","Female",IF( orders[[#This Row],[Customer Gender]]="O","Other", "Unknown")))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3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>
        <f>IF(orders[[#This Row],[Customer Gender]]="M","Male",IF( orders[[#This Row],[Customer Gender]]="F","Female",IF( orders[[#This Row],[Customer Gender]]="O","Other", "Unknown")))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3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>
        <f>IF(orders[[#This Row],[Customer Gender]]="M","Male",IF( orders[[#This Row],[Customer Gender]]="F","Female",IF( orders[[#This Row],[Customer Gender]]="O","Other", "Unknown")))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3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>
        <f>IF(orders[[#This Row],[Customer Gender]]="M","Male",IF( orders[[#This Row],[Customer Gender]]="F","Female",IF( orders[[#This Row],[Customer Gender]]="O","Other", "Unknown")))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3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>
        <f>IF(orders[[#This Row],[Customer Gender]]="M","Male",IF( orders[[#This Row],[Customer Gender]]="F","Female",IF( orders[[#This Row],[Customer Gender]]="O","Other", "Unknown")))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3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>
        <f>IF(orders[[#This Row],[Customer Gender]]="M","Male",IF( orders[[#This Row],[Customer Gender]]="F","Female",IF( orders[[#This Row],[Customer Gender]]="O","Other", "Unknown")))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3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>
        <f>IF(orders[[#This Row],[Customer Gender]]="M","Male",IF( orders[[#This Row],[Customer Gender]]="F","Female",IF( orders[[#This Row],[Customer Gender]]="O","Other", "Unknown")))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3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>
        <f>IF(orders[[#This Row],[Customer Gender]]="M","Male",IF( orders[[#This Row],[Customer Gender]]="F","Female",IF( orders[[#This Row],[Customer Gender]]="O","Other", "Unknown")))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3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>
        <f>IF(orders[[#This Row],[Customer Gender]]="M","Male",IF( orders[[#This Row],[Customer Gender]]="F","Female",IF( orders[[#This Row],[Customer Gender]]="O","Other", "Unknown")))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3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>
        <f>IF(orders[[#This Row],[Customer Gender]]="M","Male",IF( orders[[#This Row],[Customer Gender]]="F","Female",IF( orders[[#This Row],[Customer Gender]]="O","Other", "Unknown")))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3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>
        <f>IF(orders[[#This Row],[Customer Gender]]="M","Male",IF( orders[[#This Row],[Customer Gender]]="F","Female",IF( orders[[#This Row],[Customer Gender]]="O","Other", "Unknown")))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3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>
        <f>IF(orders[[#This Row],[Customer Gender]]="M","Male",IF( orders[[#This Row],[Customer Gender]]="F","Female",IF( orders[[#This Row],[Customer Gender]]="O","Other", "Unknown")))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3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>
        <f>IF(orders[[#This Row],[Customer Gender]]="M","Male",IF( orders[[#This Row],[Customer Gender]]="F","Female",IF( orders[[#This Row],[Customer Gender]]="O","Other", "Unknown")))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3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>
        <f>IF(orders[[#This Row],[Customer Gender]]="M","Male",IF( orders[[#This Row],[Customer Gender]]="F","Female",IF( orders[[#This Row],[Customer Gender]]="O","Other", "Unknown")))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3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>
        <f>IF(orders[[#This Row],[Customer Gender]]="M","Male",IF( orders[[#This Row],[Customer Gender]]="F","Female",IF( orders[[#This Row],[Customer Gender]]="O","Other", "Unknown")))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3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>
        <f>IF(orders[[#This Row],[Customer Gender]]="M","Male",IF( orders[[#This Row],[Customer Gender]]="F","Female",IF( orders[[#This Row],[Customer Gender]]="O","Other", "Unknown")))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3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>
        <f>IF(orders[[#This Row],[Customer Gender]]="M","Male",IF( orders[[#This Row],[Customer Gender]]="F","Female",IF( orders[[#This Row],[Customer Gender]]="O","Other", "Unknown")))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3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>
        <f>IF(orders[[#This Row],[Customer Gender]]="M","Male",IF( orders[[#This Row],[Customer Gender]]="F","Female",IF( orders[[#This Row],[Customer Gender]]="O","Other", "Unknown")))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3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>
        <f>IF(orders[[#This Row],[Customer Gender]]="M","Male",IF( orders[[#This Row],[Customer Gender]]="F","Female",IF( orders[[#This Row],[Customer Gender]]="O","Other", "Unknown")))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3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>
        <f>IF(orders[[#This Row],[Customer Gender]]="M","Male",IF( orders[[#This Row],[Customer Gender]]="F","Female",IF( orders[[#This Row],[Customer Gender]]="O","Other", "Unknown")))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3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>
        <f>IF(orders[[#This Row],[Customer Gender]]="M","Male",IF( orders[[#This Row],[Customer Gender]]="F","Female",IF( orders[[#This Row],[Customer Gender]]="O","Other", "Unknown")))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3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>
        <f>IF(orders[[#This Row],[Customer Gender]]="M","Male",IF( orders[[#This Row],[Customer Gender]]="F","Female",IF( orders[[#This Row],[Customer Gender]]="O","Other", "Unknown")))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3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>
        <f>IF(orders[[#This Row],[Customer Gender]]="M","Male",IF( orders[[#This Row],[Customer Gender]]="F","Female",IF( orders[[#This Row],[Customer Gender]]="O","Other", "Unknown")))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3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>
        <f>IF(orders[[#This Row],[Customer Gender]]="M","Male",IF( orders[[#This Row],[Customer Gender]]="F","Female",IF( orders[[#This Row],[Customer Gender]]="O","Other", "Unknown")))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3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>
        <f>IF(orders[[#This Row],[Customer Gender]]="M","Male",IF( orders[[#This Row],[Customer Gender]]="F","Female",IF( orders[[#This Row],[Customer Gender]]="O","Other", "Unknown")))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3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>
        <f>IF(orders[[#This Row],[Customer Gender]]="M","Male",IF( orders[[#This Row],[Customer Gender]]="F","Female",IF( orders[[#This Row],[Customer Gender]]="O","Other", "Unknown")))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3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>
        <f>IF(orders[[#This Row],[Customer Gender]]="M","Male",IF( orders[[#This Row],[Customer Gender]]="F","Female",IF( orders[[#This Row],[Customer Gender]]="O","Other", "Unknown")))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3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>
        <f>IF(orders[[#This Row],[Customer Gender]]="M","Male",IF( orders[[#This Row],[Customer Gender]]="F","Female",IF( orders[[#This Row],[Customer Gender]]="O","Other", "Unknown")))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3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>
        <f>IF(orders[[#This Row],[Customer Gender]]="M","Male",IF( orders[[#This Row],[Customer Gender]]="F","Female",IF( orders[[#This Row],[Customer Gender]]="O","Other", "Unknown")))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3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>
        <f>IF(orders[[#This Row],[Customer Gender]]="M","Male",IF( orders[[#This Row],[Customer Gender]]="F","Female",IF( orders[[#This Row],[Customer Gender]]="O","Other", "Unknown")))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3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>
        <f>IF(orders[[#This Row],[Customer Gender]]="M","Male",IF( orders[[#This Row],[Customer Gender]]="F","Female",IF( orders[[#This Row],[Customer Gender]]="O","Other", "Unknown")))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3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>
        <f>IF(orders[[#This Row],[Customer Gender]]="M","Male",IF( orders[[#This Row],[Customer Gender]]="F","Female",IF( orders[[#This Row],[Customer Gender]]="O","Other", "Unknown")))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3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>
        <f>IF(orders[[#This Row],[Customer Gender]]="M","Male",IF( orders[[#This Row],[Customer Gender]]="F","Female",IF( orders[[#This Row],[Customer Gender]]="O","Other", "Unknown")))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3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>
        <f>IF(orders[[#This Row],[Customer Gender]]="M","Male",IF( orders[[#This Row],[Customer Gender]]="F","Female",IF( orders[[#This Row],[Customer Gender]]="O","Other", "Unknown")))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3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>
        <f>IF(orders[[#This Row],[Customer Gender]]="M","Male",IF( orders[[#This Row],[Customer Gender]]="F","Female",IF( orders[[#This Row],[Customer Gender]]="O","Other", "Unknown")))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3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>
        <f>IF(orders[[#This Row],[Customer Gender]]="M","Male",IF( orders[[#This Row],[Customer Gender]]="F","Female",IF( orders[[#This Row],[Customer Gender]]="O","Other", "Unknown")))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3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>
        <f>IF(orders[[#This Row],[Customer Gender]]="M","Male",IF( orders[[#This Row],[Customer Gender]]="F","Female",IF( orders[[#This Row],[Customer Gender]]="O","Other", "Unknown")))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3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>
        <f>IF(orders[[#This Row],[Customer Gender]]="M","Male",IF( orders[[#This Row],[Customer Gender]]="F","Female",IF( orders[[#This Row],[Customer Gender]]="O","Other", "Unknown")))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3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>
        <f>IF(orders[[#This Row],[Customer Gender]]="M","Male",IF( orders[[#This Row],[Customer Gender]]="F","Female",IF( orders[[#This Row],[Customer Gender]]="O","Other", "Unknown")))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3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>
        <f>IF(orders[[#This Row],[Customer Gender]]="M","Male",IF( orders[[#This Row],[Customer Gender]]="F","Female",IF( orders[[#This Row],[Customer Gender]]="O","Other", "Unknown")))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3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>
        <f>IF(orders[[#This Row],[Customer Gender]]="M","Male",IF( orders[[#This Row],[Customer Gender]]="F","Female",IF( orders[[#This Row],[Customer Gender]]="O","Other", "Unknown")))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3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>
        <f>IF(orders[[#This Row],[Customer Gender]]="M","Male",IF( orders[[#This Row],[Customer Gender]]="F","Female",IF( orders[[#This Row],[Customer Gender]]="O","Other", "Unknown")))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3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>
        <f>IF(orders[[#This Row],[Customer Gender]]="M","Male",IF( orders[[#This Row],[Customer Gender]]="F","Female",IF( orders[[#This Row],[Customer Gender]]="O","Other", "Unknown")))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3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>
        <f>IF(orders[[#This Row],[Customer Gender]]="M","Male",IF( orders[[#This Row],[Customer Gender]]="F","Female",IF( orders[[#This Row],[Customer Gender]]="O","Other", "Unknown")))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3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>
        <f>IF(orders[[#This Row],[Customer Gender]]="M","Male",IF( orders[[#This Row],[Customer Gender]]="F","Female",IF( orders[[#This Row],[Customer Gender]]="O","Other", "Unknown")))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3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>
        <f>IF(orders[[#This Row],[Customer Gender]]="M","Male",IF( orders[[#This Row],[Customer Gender]]="F","Female",IF( orders[[#This Row],[Customer Gender]]="O","Other", "Unknown")))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3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>
        <f>IF(orders[[#This Row],[Customer Gender]]="M","Male",IF( orders[[#This Row],[Customer Gender]]="F","Female",IF( orders[[#This Row],[Customer Gender]]="O","Other", "Unknown")))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3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>
        <f>IF(orders[[#This Row],[Customer Gender]]="M","Male",IF( orders[[#This Row],[Customer Gender]]="F","Female",IF( orders[[#This Row],[Customer Gender]]="O","Other", "Unknown")))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3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>
        <f>IF(orders[[#This Row],[Customer Gender]]="M","Male",IF( orders[[#This Row],[Customer Gender]]="F","Female",IF( orders[[#This Row],[Customer Gender]]="O","Other", "Unknown")))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3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>
        <f>IF(orders[[#This Row],[Customer Gender]]="M","Male",IF( orders[[#This Row],[Customer Gender]]="F","Female",IF( orders[[#This Row],[Customer Gender]]="O","Other", "Unknown")))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3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>
        <f>IF(orders[[#This Row],[Customer Gender]]="M","Male",IF( orders[[#This Row],[Customer Gender]]="F","Female",IF( orders[[#This Row],[Customer Gender]]="O","Other", "Unknown")))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3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>
        <f>IF(orders[[#This Row],[Customer Gender]]="M","Male",IF( orders[[#This Row],[Customer Gender]]="F","Female",IF( orders[[#This Row],[Customer Gender]]="O","Other", "Unknown")))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3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>
        <f>IF(orders[[#This Row],[Customer Gender]]="M","Male",IF( orders[[#This Row],[Customer Gender]]="F","Female",IF( orders[[#This Row],[Customer Gender]]="O","Other", "Unknown")))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3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>
        <f>IF(orders[[#This Row],[Customer Gender]]="M","Male",IF( orders[[#This Row],[Customer Gender]]="F","Female",IF( orders[[#This Row],[Customer Gender]]="O","Other", "Unknown")))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3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>
        <f>IF(orders[[#This Row],[Customer Gender]]="M","Male",IF( orders[[#This Row],[Customer Gender]]="F","Female",IF( orders[[#This Row],[Customer Gender]]="O","Other", "Unknown")))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3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>
        <f>IF(orders[[#This Row],[Customer Gender]]="M","Male",IF( orders[[#This Row],[Customer Gender]]="F","Female",IF( orders[[#This Row],[Customer Gender]]="O","Other", "Unknown")))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3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>
        <f>IF(orders[[#This Row],[Customer Gender]]="M","Male",IF( orders[[#This Row],[Customer Gender]]="F","Female",IF( orders[[#This Row],[Customer Gender]]="O","Other", "Unknown")))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3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>
        <f>IF(orders[[#This Row],[Customer Gender]]="M","Male",IF( orders[[#This Row],[Customer Gender]]="F","Female",IF( orders[[#This Row],[Customer Gender]]="O","Other", "Unknown")))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3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>
        <f>IF(orders[[#This Row],[Customer Gender]]="M","Male",IF( orders[[#This Row],[Customer Gender]]="F","Female",IF( orders[[#This Row],[Customer Gender]]="O","Other", "Unknown")))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3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>
        <f>IF(orders[[#This Row],[Customer Gender]]="M","Male",IF( orders[[#This Row],[Customer Gender]]="F","Female",IF( orders[[#This Row],[Customer Gender]]="O","Other", "Unknown")))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3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>
        <f>IF(orders[[#This Row],[Customer Gender]]="M","Male",IF( orders[[#This Row],[Customer Gender]]="F","Female",IF( orders[[#This Row],[Customer Gender]]="O","Other", "Unknown")))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3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>
        <f>IF(orders[[#This Row],[Customer Gender]]="M","Male",IF( orders[[#This Row],[Customer Gender]]="F","Female",IF( orders[[#This Row],[Customer Gender]]="O","Other", "Unknown")))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3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>
        <f>IF(orders[[#This Row],[Customer Gender]]="M","Male",IF( orders[[#This Row],[Customer Gender]]="F","Female",IF( orders[[#This Row],[Customer Gender]]="O","Other", "Unknown")))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3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>
        <f>IF(orders[[#This Row],[Customer Gender]]="M","Male",IF( orders[[#This Row],[Customer Gender]]="F","Female",IF( orders[[#This Row],[Customer Gender]]="O","Other", "Unknown")))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3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>
        <f>IF(orders[[#This Row],[Customer Gender]]="M","Male",IF( orders[[#This Row],[Customer Gender]]="F","Female",IF( orders[[#This Row],[Customer Gender]]="O","Other", "Unknown")))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3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>
        <f>IF(orders[[#This Row],[Customer Gender]]="M","Male",IF( orders[[#This Row],[Customer Gender]]="F","Female",IF( orders[[#This Row],[Customer Gender]]="O","Other", "Unknown")))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3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>
        <f>IF(orders[[#This Row],[Customer Gender]]="M","Male",IF( orders[[#This Row],[Customer Gender]]="F","Female",IF( orders[[#This Row],[Customer Gender]]="O","Other", "Unknown")))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3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>
        <f>IF(orders[[#This Row],[Customer Gender]]="M","Male",IF( orders[[#This Row],[Customer Gender]]="F","Female",IF( orders[[#This Row],[Customer Gender]]="O","Other", "Unknown")))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3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>
        <f>IF(orders[[#This Row],[Customer Gender]]="M","Male",IF( orders[[#This Row],[Customer Gender]]="F","Female",IF( orders[[#This Row],[Customer Gender]]="O","Other", "Unknown")))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3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>
        <f>IF(orders[[#This Row],[Customer Gender]]="M","Male",IF( orders[[#This Row],[Customer Gender]]="F","Female",IF( orders[[#This Row],[Customer Gender]]="O","Other", "Unknown")))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3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>
        <f>IF(orders[[#This Row],[Customer Gender]]="M","Male",IF( orders[[#This Row],[Customer Gender]]="F","Female",IF( orders[[#This Row],[Customer Gender]]="O","Other", "Unknown")))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3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>
        <f>IF(orders[[#This Row],[Customer Gender]]="M","Male",IF( orders[[#This Row],[Customer Gender]]="F","Female",IF( orders[[#This Row],[Customer Gender]]="O","Other", "Unknown")))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3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>
        <f>IF(orders[[#This Row],[Customer Gender]]="M","Male",IF( orders[[#This Row],[Customer Gender]]="F","Female",IF( orders[[#This Row],[Customer Gender]]="O","Other", "Unknown")))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3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>
        <f>IF(orders[[#This Row],[Customer Gender]]="M","Male",IF( orders[[#This Row],[Customer Gender]]="F","Female",IF( orders[[#This Row],[Customer Gender]]="O","Other", "Unknown")))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3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>
        <f>IF(orders[[#This Row],[Customer Gender]]="M","Male",IF( orders[[#This Row],[Customer Gender]]="F","Female",IF( orders[[#This Row],[Customer Gender]]="O","Other", "Unknown")))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3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>
        <f>IF(orders[[#This Row],[Customer Gender]]="M","Male",IF( orders[[#This Row],[Customer Gender]]="F","Female",IF( orders[[#This Row],[Customer Gender]]="O","Other", "Unknown")))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3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>
        <f>IF(orders[[#This Row],[Customer Gender]]="M","Male",IF( orders[[#This Row],[Customer Gender]]="F","Female",IF( orders[[#This Row],[Customer Gender]]="O","Other", "Unknown")))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3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>
        <f>IF(orders[[#This Row],[Customer Gender]]="M","Male",IF( orders[[#This Row],[Customer Gender]]="F","Female",IF( orders[[#This Row],[Customer Gender]]="O","Other", "Unknown")))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3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>
        <f>IF(orders[[#This Row],[Customer Gender]]="M","Male",IF( orders[[#This Row],[Customer Gender]]="F","Female",IF( orders[[#This Row],[Customer Gender]]="O","Other", "Unknown")))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3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>
        <f>IF(orders[[#This Row],[Customer Gender]]="M","Male",IF( orders[[#This Row],[Customer Gender]]="F","Female",IF( orders[[#This Row],[Customer Gender]]="O","Other", "Unknown")))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3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>
        <f>IF(orders[[#This Row],[Customer Gender]]="M","Male",IF( orders[[#This Row],[Customer Gender]]="F","Female",IF( orders[[#This Row],[Customer Gender]]="O","Other", "Unknown")))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3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>
        <f>IF(orders[[#This Row],[Customer Gender]]="M","Male",IF( orders[[#This Row],[Customer Gender]]="F","Female",IF( orders[[#This Row],[Customer Gender]]="O","Other", "Unknown")))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3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>
        <f>IF(orders[[#This Row],[Customer Gender]]="M","Male",IF( orders[[#This Row],[Customer Gender]]="F","Female",IF( orders[[#This Row],[Customer Gender]]="O","Other", "Unknown")))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3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>
        <f>IF(orders[[#This Row],[Customer Gender]]="M","Male",IF( orders[[#This Row],[Customer Gender]]="F","Female",IF( orders[[#This Row],[Customer Gender]]="O","Other", "Unknown")))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3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>
        <f>IF(orders[[#This Row],[Customer Gender]]="M","Male",IF( orders[[#This Row],[Customer Gender]]="F","Female",IF( orders[[#This Row],[Customer Gender]]="O","Other", "Unknown")))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3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>
        <f>IF(orders[[#This Row],[Customer Gender]]="M","Male",IF( orders[[#This Row],[Customer Gender]]="F","Female",IF( orders[[#This Row],[Customer Gender]]="O","Other", "Unknown")))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3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>
        <f>IF(orders[[#This Row],[Customer Gender]]="M","Male",IF( orders[[#This Row],[Customer Gender]]="F","Female",IF( orders[[#This Row],[Customer Gender]]="O","Other", "Unknown")))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3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>
        <f>IF(orders[[#This Row],[Customer Gender]]="M","Male",IF( orders[[#This Row],[Customer Gender]]="F","Female",IF( orders[[#This Row],[Customer Gender]]="O","Other", "Unknown")))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3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>
        <f>IF(orders[[#This Row],[Customer Gender]]="M","Male",IF( orders[[#This Row],[Customer Gender]]="F","Female",IF( orders[[#This Row],[Customer Gender]]="O","Other", "Unknown")))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3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>
        <f>IF(orders[[#This Row],[Customer Gender]]="M","Male",IF( orders[[#This Row],[Customer Gender]]="F","Female",IF( orders[[#This Row],[Customer Gender]]="O","Other", "Unknown")))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3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>
        <f>IF(orders[[#This Row],[Customer Gender]]="M","Male",IF( orders[[#This Row],[Customer Gender]]="F","Female",IF( orders[[#This Row],[Customer Gender]]="O","Other", "Unknown")))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3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>
        <f>IF(orders[[#This Row],[Customer Gender]]="M","Male",IF( orders[[#This Row],[Customer Gender]]="F","Female",IF( orders[[#This Row],[Customer Gender]]="O","Other", "Unknown")))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3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>
        <f>IF(orders[[#This Row],[Customer Gender]]="M","Male",IF( orders[[#This Row],[Customer Gender]]="F","Female",IF( orders[[#This Row],[Customer Gender]]="O","Other", "Unknown")))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3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>
        <f>IF(orders[[#This Row],[Customer Gender]]="M","Male",IF( orders[[#This Row],[Customer Gender]]="F","Female",IF( orders[[#This Row],[Customer Gender]]="O","Other", "Unknown")))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3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>
        <f>IF(orders[[#This Row],[Customer Gender]]="M","Male",IF( orders[[#This Row],[Customer Gender]]="F","Female",IF( orders[[#This Row],[Customer Gender]]="O","Other", "Unknown")))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3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>
        <f>IF(orders[[#This Row],[Customer Gender]]="M","Male",IF( orders[[#This Row],[Customer Gender]]="F","Female",IF( orders[[#This Row],[Customer Gender]]="O","Other", "Unknown")))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3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>
        <f>IF(orders[[#This Row],[Customer Gender]]="M","Male",IF( orders[[#This Row],[Customer Gender]]="F","Female",IF( orders[[#This Row],[Customer Gender]]="O","Other", "Unknown")))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3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>
        <f>IF(orders[[#This Row],[Customer Gender]]="M","Male",IF( orders[[#This Row],[Customer Gender]]="F","Female",IF( orders[[#This Row],[Customer Gender]]="O","Other", "Unknown")))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3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>
        <f>IF(orders[[#This Row],[Customer Gender]]="M","Male",IF( orders[[#This Row],[Customer Gender]]="F","Female",IF( orders[[#This Row],[Customer Gender]]="O","Other", "Unknown")))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3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>
        <f>IF(orders[[#This Row],[Customer Gender]]="M","Male",IF( orders[[#This Row],[Customer Gender]]="F","Female",IF( orders[[#This Row],[Customer Gender]]="O","Other", "Unknown")))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3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>
        <f>IF(orders[[#This Row],[Customer Gender]]="M","Male",IF( orders[[#This Row],[Customer Gender]]="F","Female",IF( orders[[#This Row],[Customer Gender]]="O","Other", "Unknown")))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3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>
        <f>IF(orders[[#This Row],[Customer Gender]]="M","Male",IF( orders[[#This Row],[Customer Gender]]="F","Female",IF( orders[[#This Row],[Customer Gender]]="O","Other", "Unknown")))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3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>
        <f>IF(orders[[#This Row],[Customer Gender]]="M","Male",IF( orders[[#This Row],[Customer Gender]]="F","Female",IF( orders[[#This Row],[Customer Gender]]="O","Other", "Unknown")))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3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>
        <f>IF(orders[[#This Row],[Customer Gender]]="M","Male",IF( orders[[#This Row],[Customer Gender]]="F","Female",IF( orders[[#This Row],[Customer Gender]]="O","Other", "Unknown")))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3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>
        <f>IF(orders[[#This Row],[Customer Gender]]="M","Male",IF( orders[[#This Row],[Customer Gender]]="F","Female",IF( orders[[#This Row],[Customer Gender]]="O","Other", "Unknown")))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3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>
        <f>IF(orders[[#This Row],[Customer Gender]]="M","Male",IF( orders[[#This Row],[Customer Gender]]="F","Female",IF( orders[[#This Row],[Customer Gender]]="O","Other", "Unknown")))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3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>
        <f>IF(orders[[#This Row],[Customer Gender]]="M","Male",IF( orders[[#This Row],[Customer Gender]]="F","Female",IF( orders[[#This Row],[Customer Gender]]="O","Other", "Unknown")))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3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>
        <f>IF(orders[[#This Row],[Customer Gender]]="M","Male",IF( orders[[#This Row],[Customer Gender]]="F","Female",IF( orders[[#This Row],[Customer Gender]]="O","Other", "Unknown")))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3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>
        <f>IF(orders[[#This Row],[Customer Gender]]="M","Male",IF( orders[[#This Row],[Customer Gender]]="F","Female",IF( orders[[#This Row],[Customer Gender]]="O","Other", "Unknown")))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3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>
        <f>IF(orders[[#This Row],[Customer Gender]]="M","Male",IF( orders[[#This Row],[Customer Gender]]="F","Female",IF( orders[[#This Row],[Customer Gender]]="O","Other", "Unknown")))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3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>
        <f>IF(orders[[#This Row],[Customer Gender]]="M","Male",IF( orders[[#This Row],[Customer Gender]]="F","Female",IF( orders[[#This Row],[Customer Gender]]="O","Other", "Unknown")))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3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>
        <f>IF(orders[[#This Row],[Customer Gender]]="M","Male",IF( orders[[#This Row],[Customer Gender]]="F","Female",IF( orders[[#This Row],[Customer Gender]]="O","Other", "Unknown")))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3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>
        <f>IF(orders[[#This Row],[Customer Gender]]="M","Male",IF( orders[[#This Row],[Customer Gender]]="F","Female",IF( orders[[#This Row],[Customer Gender]]="O","Other", "Unknown")))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3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>
        <f>IF(orders[[#This Row],[Customer Gender]]="M","Male",IF( orders[[#This Row],[Customer Gender]]="F","Female",IF( orders[[#This Row],[Customer Gender]]="O","Other", "Unknown")))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3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>
        <f>IF(orders[[#This Row],[Customer Gender]]="M","Male",IF( orders[[#This Row],[Customer Gender]]="F","Female",IF( orders[[#This Row],[Customer Gender]]="O","Other", "Unknown")))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3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>
        <f>IF(orders[[#This Row],[Customer Gender]]="M","Male",IF( orders[[#This Row],[Customer Gender]]="F","Female",IF( orders[[#This Row],[Customer Gender]]="O","Other", "Unknown")))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3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>
        <f>IF(orders[[#This Row],[Customer Gender]]="M","Male",IF( orders[[#This Row],[Customer Gender]]="F","Female",IF( orders[[#This Row],[Customer Gender]]="O","Other", "Unknown")))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3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>
        <f>IF(orders[[#This Row],[Customer Gender]]="M","Male",IF( orders[[#This Row],[Customer Gender]]="F","Female",IF( orders[[#This Row],[Customer Gender]]="O","Other", "Unknown")))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3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>
        <f>IF(orders[[#This Row],[Customer Gender]]="M","Male",IF( orders[[#This Row],[Customer Gender]]="F","Female",IF( orders[[#This Row],[Customer Gender]]="O","Other", "Unknown")))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3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>
        <f>IF(orders[[#This Row],[Customer Gender]]="M","Male",IF( orders[[#This Row],[Customer Gender]]="F","Female",IF( orders[[#This Row],[Customer Gender]]="O","Other", "Unknown")))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3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>
        <f>IF(orders[[#This Row],[Customer Gender]]="M","Male",IF( orders[[#This Row],[Customer Gender]]="F","Female",IF( orders[[#This Row],[Customer Gender]]="O","Other", "Unknown")))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3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>
        <f>IF(orders[[#This Row],[Customer Gender]]="M","Male",IF( orders[[#This Row],[Customer Gender]]="F","Female",IF( orders[[#This Row],[Customer Gender]]="O","Other", "Unknown")))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3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>
        <f>IF(orders[[#This Row],[Customer Gender]]="M","Male",IF( orders[[#This Row],[Customer Gender]]="F","Female",IF( orders[[#This Row],[Customer Gender]]="O","Other", "Unknown")))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3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>
        <f>IF(orders[[#This Row],[Customer Gender]]="M","Male",IF( orders[[#This Row],[Customer Gender]]="F","Female",IF( orders[[#This Row],[Customer Gender]]="O","Other", "Unknown")))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3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>
        <f>IF(orders[[#This Row],[Customer Gender]]="M","Male",IF( orders[[#This Row],[Customer Gender]]="F","Female",IF( orders[[#This Row],[Customer Gender]]="O","Other", "Unknown")))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3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>
        <f>IF(orders[[#This Row],[Customer Gender]]="M","Male",IF( orders[[#This Row],[Customer Gender]]="F","Female",IF( orders[[#This Row],[Customer Gender]]="O","Other", "Unknown")))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3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>
        <f>IF(orders[[#This Row],[Customer Gender]]="M","Male",IF( orders[[#This Row],[Customer Gender]]="F","Female",IF( orders[[#This Row],[Customer Gender]]="O","Other", "Unknown")))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3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>
        <f>IF(orders[[#This Row],[Customer Gender]]="M","Male",IF( orders[[#This Row],[Customer Gender]]="F","Female",IF( orders[[#This Row],[Customer Gender]]="O","Other", "Unknown")))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3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>
        <f>IF(orders[[#This Row],[Customer Gender]]="M","Male",IF( orders[[#This Row],[Customer Gender]]="F","Female",IF( orders[[#This Row],[Customer Gender]]="O","Other", "Unknown")))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3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>
        <f>IF(orders[[#This Row],[Customer Gender]]="M","Male",IF( orders[[#This Row],[Customer Gender]]="F","Female",IF( orders[[#This Row],[Customer Gender]]="O","Other", "Unknown")))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3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>
        <f>IF(orders[[#This Row],[Customer Gender]]="M","Male",IF( orders[[#This Row],[Customer Gender]]="F","Female",IF( orders[[#This Row],[Customer Gender]]="O","Other", "Unknown")))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3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>
        <f>IF(orders[[#This Row],[Customer Gender]]="M","Male",IF( orders[[#This Row],[Customer Gender]]="F","Female",IF( orders[[#This Row],[Customer Gender]]="O","Other", "Unknown")))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3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>
        <f>IF(orders[[#This Row],[Customer Gender]]="M","Male",IF( orders[[#This Row],[Customer Gender]]="F","Female",IF( orders[[#This Row],[Customer Gender]]="O","Other", "Unknown")))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3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>
        <f>IF(orders[[#This Row],[Customer Gender]]="M","Male",IF( orders[[#This Row],[Customer Gender]]="F","Female",IF( orders[[#This Row],[Customer Gender]]="O","Other", "Unknown")))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3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>
        <f>IF(orders[[#This Row],[Customer Gender]]="M","Male",IF( orders[[#This Row],[Customer Gender]]="F","Female",IF( orders[[#This Row],[Customer Gender]]="O","Other", "Unknown")))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3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>
        <f>IF(orders[[#This Row],[Customer Gender]]="M","Male",IF( orders[[#This Row],[Customer Gender]]="F","Female",IF( orders[[#This Row],[Customer Gender]]="O","Other", "Unknown")))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3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>
        <f>IF(orders[[#This Row],[Customer Gender]]="M","Male",IF( orders[[#This Row],[Customer Gender]]="F","Female",IF( orders[[#This Row],[Customer Gender]]="O","Other", "Unknown")))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3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>
        <f>IF(orders[[#This Row],[Customer Gender]]="M","Male",IF( orders[[#This Row],[Customer Gender]]="F","Female",IF( orders[[#This Row],[Customer Gender]]="O","Other", "Unknown")))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3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>
        <f>IF(orders[[#This Row],[Customer Gender]]="M","Male",IF( orders[[#This Row],[Customer Gender]]="F","Female",IF( orders[[#This Row],[Customer Gender]]="O","Other", "Unknown")))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3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>
        <f>IF(orders[[#This Row],[Customer Gender]]="M","Male",IF( orders[[#This Row],[Customer Gender]]="F","Female",IF( orders[[#This Row],[Customer Gender]]="O","Other", "Unknown")))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3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>
        <f>IF(orders[[#This Row],[Customer Gender]]="M","Male",IF( orders[[#This Row],[Customer Gender]]="F","Female",IF( orders[[#This Row],[Customer Gender]]="O","Other", "Unknown")))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3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>
        <f>IF(orders[[#This Row],[Customer Gender]]="M","Male",IF( orders[[#This Row],[Customer Gender]]="F","Female",IF( orders[[#This Row],[Customer Gender]]="O","Other", "Unknown")))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3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>
        <f>IF(orders[[#This Row],[Customer Gender]]="M","Male",IF( orders[[#This Row],[Customer Gender]]="F","Female",IF( orders[[#This Row],[Customer Gender]]="O","Other", "Unknown")))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3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>
        <f>IF(orders[[#This Row],[Customer Gender]]="M","Male",IF( orders[[#This Row],[Customer Gender]]="F","Female",IF( orders[[#This Row],[Customer Gender]]="O","Other", "Unknown")))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3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>
        <f>IF(orders[[#This Row],[Customer Gender]]="M","Male",IF( orders[[#This Row],[Customer Gender]]="F","Female",IF( orders[[#This Row],[Customer Gender]]="O","Other", "Unknown")))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3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>
        <f>IF(orders[[#This Row],[Customer Gender]]="M","Male",IF( orders[[#This Row],[Customer Gender]]="F","Female",IF( orders[[#This Row],[Customer Gender]]="O","Other", "Unknown")))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3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>
        <f>IF(orders[[#This Row],[Customer Gender]]="M","Male",IF( orders[[#This Row],[Customer Gender]]="F","Female",IF( orders[[#This Row],[Customer Gender]]="O","Other", "Unknown")))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3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>
        <f>IF(orders[[#This Row],[Customer Gender]]="M","Male",IF( orders[[#This Row],[Customer Gender]]="F","Female",IF( orders[[#This Row],[Customer Gender]]="O","Other", "Unknown")))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3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>
        <f>IF(orders[[#This Row],[Customer Gender]]="M","Male",IF( orders[[#This Row],[Customer Gender]]="F","Female",IF( orders[[#This Row],[Customer Gender]]="O","Other", "Unknown")))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3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>
        <f>IF(orders[[#This Row],[Customer Gender]]="M","Male",IF( orders[[#This Row],[Customer Gender]]="F","Female",IF( orders[[#This Row],[Customer Gender]]="O","Other", "Unknown")))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3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>
        <f>IF(orders[[#This Row],[Customer Gender]]="M","Male",IF( orders[[#This Row],[Customer Gender]]="F","Female",IF( orders[[#This Row],[Customer Gender]]="O","Other", "Unknown")))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3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>
        <f>IF(orders[[#This Row],[Customer Gender]]="M","Male",IF( orders[[#This Row],[Customer Gender]]="F","Female",IF( orders[[#This Row],[Customer Gender]]="O","Other", "Unknown")))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3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>
        <f>IF(orders[[#This Row],[Customer Gender]]="M","Male",IF( orders[[#This Row],[Customer Gender]]="F","Female",IF( orders[[#This Row],[Customer Gender]]="O","Other", "Unknown")))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3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>
        <f>IF(orders[[#This Row],[Customer Gender]]="M","Male",IF( orders[[#This Row],[Customer Gender]]="F","Female",IF( orders[[#This Row],[Customer Gender]]="O","Other", "Unknown")))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3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>
        <f>IF(orders[[#This Row],[Customer Gender]]="M","Male",IF( orders[[#This Row],[Customer Gender]]="F","Female",IF( orders[[#This Row],[Customer Gender]]="O","Other", "Unknown")))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3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>
        <f>IF(orders[[#This Row],[Customer Gender]]="M","Male",IF( orders[[#This Row],[Customer Gender]]="F","Female",IF( orders[[#This Row],[Customer Gender]]="O","Other", "Unknown")))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3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>
        <f>IF(orders[[#This Row],[Customer Gender]]="M","Male",IF( orders[[#This Row],[Customer Gender]]="F","Female",IF( orders[[#This Row],[Customer Gender]]="O","Other", "Unknown")))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3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>
        <f>IF(orders[[#This Row],[Customer Gender]]="M","Male",IF( orders[[#This Row],[Customer Gender]]="F","Female",IF( orders[[#This Row],[Customer Gender]]="O","Other", "Unknown")))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3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>
        <f>IF(orders[[#This Row],[Customer Gender]]="M","Male",IF( orders[[#This Row],[Customer Gender]]="F","Female",IF( orders[[#This Row],[Customer Gender]]="O","Other", "Unknown")))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3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>
        <f>IF(orders[[#This Row],[Customer Gender]]="M","Male",IF( orders[[#This Row],[Customer Gender]]="F","Female",IF( orders[[#This Row],[Customer Gender]]="O","Other", "Unknown")))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3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>
        <f>IF(orders[[#This Row],[Customer Gender]]="M","Male",IF( orders[[#This Row],[Customer Gender]]="F","Female",IF( orders[[#This Row],[Customer Gender]]="O","Other", "Unknown")))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3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>
        <f>IF(orders[[#This Row],[Customer Gender]]="M","Male",IF( orders[[#This Row],[Customer Gender]]="F","Female",IF( orders[[#This Row],[Customer Gender]]="O","Other", "Unknown")))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3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>
        <f>IF(orders[[#This Row],[Customer Gender]]="M","Male",IF( orders[[#This Row],[Customer Gender]]="F","Female",IF( orders[[#This Row],[Customer Gender]]="O","Other", "Unknown")))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3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>
        <f>IF(orders[[#This Row],[Customer Gender]]="M","Male",IF( orders[[#This Row],[Customer Gender]]="F","Female",IF( orders[[#This Row],[Customer Gender]]="O","Other", "Unknown")))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3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>
        <f>IF(orders[[#This Row],[Customer Gender]]="M","Male",IF( orders[[#This Row],[Customer Gender]]="F","Female",IF( orders[[#This Row],[Customer Gender]]="O","Other", "Unknown")))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3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>
        <f>IF(orders[[#This Row],[Customer Gender]]="M","Male",IF( orders[[#This Row],[Customer Gender]]="F","Female",IF( orders[[#This Row],[Customer Gender]]="O","Other", "Unknown")))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3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>
        <f>IF(orders[[#This Row],[Customer Gender]]="M","Male",IF( orders[[#This Row],[Customer Gender]]="F","Female",IF( orders[[#This Row],[Customer Gender]]="O","Other", "Unknown")))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3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>
        <f>IF(orders[[#This Row],[Customer Gender]]="M","Male",IF( orders[[#This Row],[Customer Gender]]="F","Female",IF( orders[[#This Row],[Customer Gender]]="O","Other", "Unknown")))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3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>
        <f>IF(orders[[#This Row],[Customer Gender]]="M","Male",IF( orders[[#This Row],[Customer Gender]]="F","Female",IF( orders[[#This Row],[Customer Gender]]="O","Other", "Unknown")))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3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>
        <f>IF(orders[[#This Row],[Customer Gender]]="M","Male",IF( orders[[#This Row],[Customer Gender]]="F","Female",IF( orders[[#This Row],[Customer Gender]]="O","Other", "Unknown")))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3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>
        <f>IF(orders[[#This Row],[Customer Gender]]="M","Male",IF( orders[[#This Row],[Customer Gender]]="F","Female",IF( orders[[#This Row],[Customer Gender]]="O","Other", "Unknown")))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3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>
        <f>IF(orders[[#This Row],[Customer Gender]]="M","Male",IF( orders[[#This Row],[Customer Gender]]="F","Female",IF( orders[[#This Row],[Customer Gender]]="O","Other", "Unknown")))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3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>
        <f>IF(orders[[#This Row],[Customer Gender]]="M","Male",IF( orders[[#This Row],[Customer Gender]]="F","Female",IF( orders[[#This Row],[Customer Gender]]="O","Other", "Unknown")))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3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>
        <f>IF(orders[[#This Row],[Customer Gender]]="M","Male",IF( orders[[#This Row],[Customer Gender]]="F","Female",IF( orders[[#This Row],[Customer Gender]]="O","Other", "Unknown")))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3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>
        <f>IF(orders[[#This Row],[Customer Gender]]="M","Male",IF( orders[[#This Row],[Customer Gender]]="F","Female",IF( orders[[#This Row],[Customer Gender]]="O","Other", "Unknown")))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3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>
        <f>IF(orders[[#This Row],[Customer Gender]]="M","Male",IF( orders[[#This Row],[Customer Gender]]="F","Female",IF( orders[[#This Row],[Customer Gender]]="O","Other", "Unknown")))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3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>
        <f>IF(orders[[#This Row],[Customer Gender]]="M","Male",IF( orders[[#This Row],[Customer Gender]]="F","Female",IF( orders[[#This Row],[Customer Gender]]="O","Other", "Unknown")))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3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>
        <f>IF(orders[[#This Row],[Customer Gender]]="M","Male",IF( orders[[#This Row],[Customer Gender]]="F","Female",IF( orders[[#This Row],[Customer Gender]]="O","Other", "Unknown")))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3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>
        <f>IF(orders[[#This Row],[Customer Gender]]="M","Male",IF( orders[[#This Row],[Customer Gender]]="F","Female",IF( orders[[#This Row],[Customer Gender]]="O","Other", "Unknown")))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3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>
        <f>IF(orders[[#This Row],[Customer Gender]]="M","Male",IF( orders[[#This Row],[Customer Gender]]="F","Female",IF( orders[[#This Row],[Customer Gender]]="O","Other", "Unknown")))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3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>
        <f>IF(orders[[#This Row],[Customer Gender]]="M","Male",IF( orders[[#This Row],[Customer Gender]]="F","Female",IF( orders[[#This Row],[Customer Gender]]="O","Other", "Unknown")))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3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>
        <f>IF(orders[[#This Row],[Customer Gender]]="M","Male",IF( orders[[#This Row],[Customer Gender]]="F","Female",IF( orders[[#This Row],[Customer Gender]]="O","Other", "Unknown")))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3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>
        <f>IF(orders[[#This Row],[Customer Gender]]="M","Male",IF( orders[[#This Row],[Customer Gender]]="F","Female",IF( orders[[#This Row],[Customer Gender]]="O","Other", "Unknown")))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3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>
        <f>IF(orders[[#This Row],[Customer Gender]]="M","Male",IF( orders[[#This Row],[Customer Gender]]="F","Female",IF( orders[[#This Row],[Customer Gender]]="O","Other", "Unknown")))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3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>
        <f>IF(orders[[#This Row],[Customer Gender]]="M","Male",IF( orders[[#This Row],[Customer Gender]]="F","Female",IF( orders[[#This Row],[Customer Gender]]="O","Other", "Unknown")))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3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>
        <f>IF(orders[[#This Row],[Customer Gender]]="M","Male",IF( orders[[#This Row],[Customer Gender]]="F","Female",IF( orders[[#This Row],[Customer Gender]]="O","Other", "Unknown")))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3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>
        <f>IF(orders[[#This Row],[Customer Gender]]="M","Male",IF( orders[[#This Row],[Customer Gender]]="F","Female",IF( orders[[#This Row],[Customer Gender]]="O","Other", "Unknown")))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3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>
        <f>IF(orders[[#This Row],[Customer Gender]]="M","Male",IF( orders[[#This Row],[Customer Gender]]="F","Female",IF( orders[[#This Row],[Customer Gender]]="O","Other", "Unknown")))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3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>
        <f>IF(orders[[#This Row],[Customer Gender]]="M","Male",IF( orders[[#This Row],[Customer Gender]]="F","Female",IF( orders[[#This Row],[Customer Gender]]="O","Other", "Unknown")))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3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>
        <f>IF(orders[[#This Row],[Customer Gender]]="M","Male",IF( orders[[#This Row],[Customer Gender]]="F","Female",IF( orders[[#This Row],[Customer Gender]]="O","Other", "Unknown")))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3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>
        <f>IF(orders[[#This Row],[Customer Gender]]="M","Male",IF( orders[[#This Row],[Customer Gender]]="F","Female",IF( orders[[#This Row],[Customer Gender]]="O","Other", "Unknown")))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3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>
        <f>IF(orders[[#This Row],[Customer Gender]]="M","Male",IF( orders[[#This Row],[Customer Gender]]="F","Female",IF( orders[[#This Row],[Customer Gender]]="O","Other", "Unknown")))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3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>
        <f>IF(orders[[#This Row],[Customer Gender]]="M","Male",IF( orders[[#This Row],[Customer Gender]]="F","Female",IF( orders[[#This Row],[Customer Gender]]="O","Other", "Unknown")))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3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>
        <f>IF(orders[[#This Row],[Customer Gender]]="M","Male",IF( orders[[#This Row],[Customer Gender]]="F","Female",IF( orders[[#This Row],[Customer Gender]]="O","Other", "Unknown")))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3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>
        <f>IF(orders[[#This Row],[Customer Gender]]="M","Male",IF( orders[[#This Row],[Customer Gender]]="F","Female",IF( orders[[#This Row],[Customer Gender]]="O","Other", "Unknown")))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3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>
        <f>IF(orders[[#This Row],[Customer Gender]]="M","Male",IF( orders[[#This Row],[Customer Gender]]="F","Female",IF( orders[[#This Row],[Customer Gender]]="O","Other", "Unknown")))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3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>
        <f>IF(orders[[#This Row],[Customer Gender]]="M","Male",IF( orders[[#This Row],[Customer Gender]]="F","Female",IF( orders[[#This Row],[Customer Gender]]="O","Other", "Unknown")))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3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>
        <f>IF(orders[[#This Row],[Customer Gender]]="M","Male",IF( orders[[#This Row],[Customer Gender]]="F","Female",IF( orders[[#This Row],[Customer Gender]]="O","Other", "Unknown")))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3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>
        <f>IF(orders[[#This Row],[Customer Gender]]="M","Male",IF( orders[[#This Row],[Customer Gender]]="F","Female",IF( orders[[#This Row],[Customer Gender]]="O","Other", "Unknown")))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3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>
        <f>IF(orders[[#This Row],[Customer Gender]]="M","Male",IF( orders[[#This Row],[Customer Gender]]="F","Female",IF( orders[[#This Row],[Customer Gender]]="O","Other", "Unknown")))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3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>
        <f>IF(orders[[#This Row],[Customer Gender]]="M","Male",IF( orders[[#This Row],[Customer Gender]]="F","Female",IF( orders[[#This Row],[Customer Gender]]="O","Other", "Unknown")))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3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>
        <f>IF(orders[[#This Row],[Customer Gender]]="M","Male",IF( orders[[#This Row],[Customer Gender]]="F","Female",IF( orders[[#This Row],[Customer Gender]]="O","Other", "Unknown")))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3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>
        <f>IF(orders[[#This Row],[Customer Gender]]="M","Male",IF( orders[[#This Row],[Customer Gender]]="F","Female",IF( orders[[#This Row],[Customer Gender]]="O","Other", "Unknown")))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3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>
        <f>IF(orders[[#This Row],[Customer Gender]]="M","Male",IF( orders[[#This Row],[Customer Gender]]="F","Female",IF( orders[[#This Row],[Customer Gender]]="O","Other", "Unknown")))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3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>
        <f>IF(orders[[#This Row],[Customer Gender]]="M","Male",IF( orders[[#This Row],[Customer Gender]]="F","Female",IF( orders[[#This Row],[Customer Gender]]="O","Other", "Unknown")))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3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>
        <f>IF(orders[[#This Row],[Customer Gender]]="M","Male",IF( orders[[#This Row],[Customer Gender]]="F","Female",IF( orders[[#This Row],[Customer Gender]]="O","Other", "Unknown")))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3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>
        <f>IF(orders[[#This Row],[Customer Gender]]="M","Male",IF( orders[[#This Row],[Customer Gender]]="F","Female",IF( orders[[#This Row],[Customer Gender]]="O","Other", "Unknown")))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3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>
        <f>IF(orders[[#This Row],[Customer Gender]]="M","Male",IF( orders[[#This Row],[Customer Gender]]="F","Female",IF( orders[[#This Row],[Customer Gender]]="O","Other", "Unknown")))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3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>
        <f>IF(orders[[#This Row],[Customer Gender]]="M","Male",IF( orders[[#This Row],[Customer Gender]]="F","Female",IF( orders[[#This Row],[Customer Gender]]="O","Other", "Unknown")))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3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>
        <f>IF(orders[[#This Row],[Customer Gender]]="M","Male",IF( orders[[#This Row],[Customer Gender]]="F","Female",IF( orders[[#This Row],[Customer Gender]]="O","Other", "Unknown")))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3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>
        <f>IF(orders[[#This Row],[Customer Gender]]="M","Male",IF( orders[[#This Row],[Customer Gender]]="F","Female",IF( orders[[#This Row],[Customer Gender]]="O","Other", "Unknown")))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3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>
        <f>IF(orders[[#This Row],[Customer Gender]]="M","Male",IF( orders[[#This Row],[Customer Gender]]="F","Female",IF( orders[[#This Row],[Customer Gender]]="O","Other", "Unknown")))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3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>
        <f>IF(orders[[#This Row],[Customer Gender]]="M","Male",IF( orders[[#This Row],[Customer Gender]]="F","Female",IF( orders[[#This Row],[Customer Gender]]="O","Other", "Unknown")))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3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>
        <f>IF(orders[[#This Row],[Customer Gender]]="M","Male",IF( orders[[#This Row],[Customer Gender]]="F","Female",IF( orders[[#This Row],[Customer Gender]]="O","Other", "Unknown")))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3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>
        <f>IF(orders[[#This Row],[Customer Gender]]="M","Male",IF( orders[[#This Row],[Customer Gender]]="F","Female",IF( orders[[#This Row],[Customer Gender]]="O","Other", "Unknown")))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3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>
        <f>IF(orders[[#This Row],[Customer Gender]]="M","Male",IF( orders[[#This Row],[Customer Gender]]="F","Female",IF( orders[[#This Row],[Customer Gender]]="O","Other", "Unknown")))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3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>
        <f>IF(orders[[#This Row],[Customer Gender]]="M","Male",IF( orders[[#This Row],[Customer Gender]]="F","Female",IF( orders[[#This Row],[Customer Gender]]="O","Other", "Unknown")))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3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>
        <f>IF(orders[[#This Row],[Customer Gender]]="M","Male",IF( orders[[#This Row],[Customer Gender]]="F","Female",IF( orders[[#This Row],[Customer Gender]]="O","Other", "Unknown")))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3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>
        <f>IF(orders[[#This Row],[Customer Gender]]="M","Male",IF( orders[[#This Row],[Customer Gender]]="F","Female",IF( orders[[#This Row],[Customer Gender]]="O","Other", "Unknown")))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3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>
        <f>IF(orders[[#This Row],[Customer Gender]]="M","Male",IF( orders[[#This Row],[Customer Gender]]="F","Female",IF( orders[[#This Row],[Customer Gender]]="O","Other", "Unknown")))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3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>
        <f>IF(orders[[#This Row],[Customer Gender]]="M","Male",IF( orders[[#This Row],[Customer Gender]]="F","Female",IF( orders[[#This Row],[Customer Gender]]="O","Other", "Unknown")))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3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>
        <f>IF(orders[[#This Row],[Customer Gender]]="M","Male",IF( orders[[#This Row],[Customer Gender]]="F","Female",IF( orders[[#This Row],[Customer Gender]]="O","Other", "Unknown")))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3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>
        <f>IF(orders[[#This Row],[Customer Gender]]="M","Male",IF( orders[[#This Row],[Customer Gender]]="F","Female",IF( orders[[#This Row],[Customer Gender]]="O","Other", "Unknown")))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3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>
        <f>IF(orders[[#This Row],[Customer Gender]]="M","Male",IF( orders[[#This Row],[Customer Gender]]="F","Female",IF( orders[[#This Row],[Customer Gender]]="O","Other", "Unknown")))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3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>
        <f>IF(orders[[#This Row],[Customer Gender]]="M","Male",IF( orders[[#This Row],[Customer Gender]]="F","Female",IF( orders[[#This Row],[Customer Gender]]="O","Other", "Unknown")))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3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>
        <f>IF(orders[[#This Row],[Customer Gender]]="M","Male",IF( orders[[#This Row],[Customer Gender]]="F","Female",IF( orders[[#This Row],[Customer Gender]]="O","Other", "Unknown")))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3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>
        <f>IF(orders[[#This Row],[Customer Gender]]="M","Male",IF( orders[[#This Row],[Customer Gender]]="F","Female",IF( orders[[#This Row],[Customer Gender]]="O","Other", "Unknown")))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3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>
        <f>IF(orders[[#This Row],[Customer Gender]]="M","Male",IF( orders[[#This Row],[Customer Gender]]="F","Female",IF( orders[[#This Row],[Customer Gender]]="O","Other", "Unknown")))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3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>
        <f>IF(orders[[#This Row],[Customer Gender]]="M","Male",IF( orders[[#This Row],[Customer Gender]]="F","Female",IF( orders[[#This Row],[Customer Gender]]="O","Other", "Unknown")))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3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>
        <f>IF(orders[[#This Row],[Customer Gender]]="M","Male",IF( orders[[#This Row],[Customer Gender]]="F","Female",IF( orders[[#This Row],[Customer Gender]]="O","Other", "Unknown")))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3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>
        <f>IF(orders[[#This Row],[Customer Gender]]="M","Male",IF( orders[[#This Row],[Customer Gender]]="F","Female",IF( orders[[#This Row],[Customer Gender]]="O","Other", "Unknown")))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3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>
        <f>IF(orders[[#This Row],[Customer Gender]]="M","Male",IF( orders[[#This Row],[Customer Gender]]="F","Female",IF( orders[[#This Row],[Customer Gender]]="O","Other", "Unknown")))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3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>
        <f>IF(orders[[#This Row],[Customer Gender]]="M","Male",IF( orders[[#This Row],[Customer Gender]]="F","Female",IF( orders[[#This Row],[Customer Gender]]="O","Other", "Unknown")))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3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>
        <f>IF(orders[[#This Row],[Customer Gender]]="M","Male",IF( orders[[#This Row],[Customer Gender]]="F","Female",IF( orders[[#This Row],[Customer Gender]]="O","Other", "Unknown")))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3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>
        <f>IF(orders[[#This Row],[Customer Gender]]="M","Male",IF( orders[[#This Row],[Customer Gender]]="F","Female",IF( orders[[#This Row],[Customer Gender]]="O","Other", "Unknown")))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3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>
        <f>IF(orders[[#This Row],[Customer Gender]]="M","Male",IF( orders[[#This Row],[Customer Gender]]="F","Female",IF( orders[[#This Row],[Customer Gender]]="O","Other", "Unknown")))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3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>
        <f>IF(orders[[#This Row],[Customer Gender]]="M","Male",IF( orders[[#This Row],[Customer Gender]]="F","Female",IF( orders[[#This Row],[Customer Gender]]="O","Other", "Unknown")))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3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>
        <f>IF(orders[[#This Row],[Customer Gender]]="M","Male",IF( orders[[#This Row],[Customer Gender]]="F","Female",IF( orders[[#This Row],[Customer Gender]]="O","Other", "Unknown")))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3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>
        <f>IF(orders[[#This Row],[Customer Gender]]="M","Male",IF( orders[[#This Row],[Customer Gender]]="F","Female",IF( orders[[#This Row],[Customer Gender]]="O","Other", "Unknown")))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3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>
        <f>IF(orders[[#This Row],[Customer Gender]]="M","Male",IF( orders[[#This Row],[Customer Gender]]="F","Female",IF( orders[[#This Row],[Customer Gender]]="O","Other", "Unknown")))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3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>
        <f>IF(orders[[#This Row],[Customer Gender]]="M","Male",IF( orders[[#This Row],[Customer Gender]]="F","Female",IF( orders[[#This Row],[Customer Gender]]="O","Other", "Unknown")))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3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>
        <f>IF(orders[[#This Row],[Customer Gender]]="M","Male",IF( orders[[#This Row],[Customer Gender]]="F","Female",IF( orders[[#This Row],[Customer Gender]]="O","Other", "Unknown")))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3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>
        <f>IF(orders[[#This Row],[Customer Gender]]="M","Male",IF( orders[[#This Row],[Customer Gender]]="F","Female",IF( orders[[#This Row],[Customer Gender]]="O","Other", "Unknown")))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3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>
        <f>IF(orders[[#This Row],[Customer Gender]]="M","Male",IF( orders[[#This Row],[Customer Gender]]="F","Female",IF( orders[[#This Row],[Customer Gender]]="O","Other", "Unknown")))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3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>
        <f>IF(orders[[#This Row],[Customer Gender]]="M","Male",IF( orders[[#This Row],[Customer Gender]]="F","Female",IF( orders[[#This Row],[Customer Gender]]="O","Other", "Unknown")))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3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>
        <f>IF(orders[[#This Row],[Customer Gender]]="M","Male",IF( orders[[#This Row],[Customer Gender]]="F","Female",IF( orders[[#This Row],[Customer Gender]]="O","Other", "Unknown")))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3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>
        <f>IF(orders[[#This Row],[Customer Gender]]="M","Male",IF( orders[[#This Row],[Customer Gender]]="F","Female",IF( orders[[#This Row],[Customer Gender]]="O","Other", "Unknown")))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3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>
        <f>IF(orders[[#This Row],[Customer Gender]]="M","Male",IF( orders[[#This Row],[Customer Gender]]="F","Female",IF( orders[[#This Row],[Customer Gender]]="O","Other", "Unknown")))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3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>
        <f>IF(orders[[#This Row],[Customer Gender]]="M","Male",IF( orders[[#This Row],[Customer Gender]]="F","Female",IF( orders[[#This Row],[Customer Gender]]="O","Other", "Unknown")))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3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>
        <f>IF(orders[[#This Row],[Customer Gender]]="M","Male",IF( orders[[#This Row],[Customer Gender]]="F","Female",IF( orders[[#This Row],[Customer Gender]]="O","Other", "Unknown")))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3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>
        <f>IF(orders[[#This Row],[Customer Gender]]="M","Male",IF( orders[[#This Row],[Customer Gender]]="F","Female",IF( orders[[#This Row],[Customer Gender]]="O","Other", "Unknown")))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3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>
        <f>IF(orders[[#This Row],[Customer Gender]]="M","Male",IF( orders[[#This Row],[Customer Gender]]="F","Female",IF( orders[[#This Row],[Customer Gender]]="O","Other", "Unknown")))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3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>
        <f>IF(orders[[#This Row],[Customer Gender]]="M","Male",IF( orders[[#This Row],[Customer Gender]]="F","Female",IF( orders[[#This Row],[Customer Gender]]="O","Other", "Unknown")))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3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>
        <f>IF(orders[[#This Row],[Customer Gender]]="M","Male",IF( orders[[#This Row],[Customer Gender]]="F","Female",IF( orders[[#This Row],[Customer Gender]]="O","Other", "Unknown")))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3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>
        <f>IF(orders[[#This Row],[Customer Gender]]="M","Male",IF( orders[[#This Row],[Customer Gender]]="F","Female",IF( orders[[#This Row],[Customer Gender]]="O","Other", "Unknown")))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3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>
        <f>IF(orders[[#This Row],[Customer Gender]]="M","Male",IF( orders[[#This Row],[Customer Gender]]="F","Female",IF( orders[[#This Row],[Customer Gender]]="O","Other", "Unknown")))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3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>
        <f>IF(orders[[#This Row],[Customer Gender]]="M","Male",IF( orders[[#This Row],[Customer Gender]]="F","Female",IF( orders[[#This Row],[Customer Gender]]="O","Other", "Unknown")))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3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>
        <f>IF(orders[[#This Row],[Customer Gender]]="M","Male",IF( orders[[#This Row],[Customer Gender]]="F","Female",IF( orders[[#This Row],[Customer Gender]]="O","Other", "Unknown")))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3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>
        <f>IF(orders[[#This Row],[Customer Gender]]="M","Male",IF( orders[[#This Row],[Customer Gender]]="F","Female",IF( orders[[#This Row],[Customer Gender]]="O","Other", "Unknown")))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3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>
        <f>IF(orders[[#This Row],[Customer Gender]]="M","Male",IF( orders[[#This Row],[Customer Gender]]="F","Female",IF( orders[[#This Row],[Customer Gender]]="O","Other", "Unknown")))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3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>
        <f>IF(orders[[#This Row],[Customer Gender]]="M","Male",IF( orders[[#This Row],[Customer Gender]]="F","Female",IF( orders[[#This Row],[Customer Gender]]="O","Other", "Unknown")))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3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>
        <f>IF(orders[[#This Row],[Customer Gender]]="M","Male",IF( orders[[#This Row],[Customer Gender]]="F","Female",IF( orders[[#This Row],[Customer Gender]]="O","Other", "Unknown")))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3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>
        <f>IF(orders[[#This Row],[Customer Gender]]="M","Male",IF( orders[[#This Row],[Customer Gender]]="F","Female",IF( orders[[#This Row],[Customer Gender]]="O","Other", "Unknown")))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3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>
        <f>IF(orders[[#This Row],[Customer Gender]]="M","Male",IF( orders[[#This Row],[Customer Gender]]="F","Female",IF( orders[[#This Row],[Customer Gender]]="O","Other", "Unknown")))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3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>
        <f>IF(orders[[#This Row],[Customer Gender]]="M","Male",IF( orders[[#This Row],[Customer Gender]]="F","Female",IF( orders[[#This Row],[Customer Gender]]="O","Other", "Unknown")))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3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>
        <f>IF(orders[[#This Row],[Customer Gender]]="M","Male",IF( orders[[#This Row],[Customer Gender]]="F","Female",IF( orders[[#This Row],[Customer Gender]]="O","Other", "Unknown")))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3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>
        <f>IF(orders[[#This Row],[Customer Gender]]="M","Male",IF( orders[[#This Row],[Customer Gender]]="F","Female",IF( orders[[#This Row],[Customer Gender]]="O","Other", "Unknown")))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3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>
        <f>IF(orders[[#This Row],[Customer Gender]]="M","Male",IF( orders[[#This Row],[Customer Gender]]="F","Female",IF( orders[[#This Row],[Customer Gender]]="O","Other", "Unknown")))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3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>
        <f>IF(orders[[#This Row],[Customer Gender]]="M","Male",IF( orders[[#This Row],[Customer Gender]]="F","Female",IF( orders[[#This Row],[Customer Gender]]="O","Other", "Unknown")))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3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>
        <f>IF(orders[[#This Row],[Customer Gender]]="M","Male",IF( orders[[#This Row],[Customer Gender]]="F","Female",IF( orders[[#This Row],[Customer Gender]]="O","Other", "Unknown")))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3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>
        <f>IF(orders[[#This Row],[Customer Gender]]="M","Male",IF( orders[[#This Row],[Customer Gender]]="F","Female",IF( orders[[#This Row],[Customer Gender]]="O","Other", "Unknown")))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3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>
        <f>IF(orders[[#This Row],[Customer Gender]]="M","Male",IF( orders[[#This Row],[Customer Gender]]="F","Female",IF( orders[[#This Row],[Customer Gender]]="O","Other", "Unknown")))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3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>
        <f>IF(orders[[#This Row],[Customer Gender]]="M","Male",IF( orders[[#This Row],[Customer Gender]]="F","Female",IF( orders[[#This Row],[Customer Gender]]="O","Other", "Unknown")))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3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>
        <f>IF(orders[[#This Row],[Customer Gender]]="M","Male",IF( orders[[#This Row],[Customer Gender]]="F","Female",IF( orders[[#This Row],[Customer Gender]]="O","Other", "Unknown")))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3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>
        <f>IF(orders[[#This Row],[Customer Gender]]="M","Male",IF( orders[[#This Row],[Customer Gender]]="F","Female",IF( orders[[#This Row],[Customer Gender]]="O","Other", "Unknown")))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3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>
        <f>IF(orders[[#This Row],[Customer Gender]]="M","Male",IF( orders[[#This Row],[Customer Gender]]="F","Female",IF( orders[[#This Row],[Customer Gender]]="O","Other", "Unknown")))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3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>
        <f>IF(orders[[#This Row],[Customer Gender]]="M","Male",IF( orders[[#This Row],[Customer Gender]]="F","Female",IF( orders[[#This Row],[Customer Gender]]="O","Other", "Unknown")))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3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>
        <f>IF(orders[[#This Row],[Customer Gender]]="M","Male",IF( orders[[#This Row],[Customer Gender]]="F","Female",IF( orders[[#This Row],[Customer Gender]]="O","Other", "Unknown")))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3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>
        <f>IF(orders[[#This Row],[Customer Gender]]="M","Male",IF( orders[[#This Row],[Customer Gender]]="F","Female",IF( orders[[#This Row],[Customer Gender]]="O","Other", "Unknown")))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3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>
        <f>IF(orders[[#This Row],[Customer Gender]]="M","Male",IF( orders[[#This Row],[Customer Gender]]="F","Female",IF( orders[[#This Row],[Customer Gender]]="O","Other", "Unknown")))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3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>
        <f>IF(orders[[#This Row],[Customer Gender]]="M","Male",IF( orders[[#This Row],[Customer Gender]]="F","Female",IF( orders[[#This Row],[Customer Gender]]="O","Other", "Unknown")))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3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>
        <f>IF(orders[[#This Row],[Customer Gender]]="M","Male",IF( orders[[#This Row],[Customer Gender]]="F","Female",IF( orders[[#This Row],[Customer Gender]]="O","Other", "Unknown")))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3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>
        <f>IF(orders[[#This Row],[Customer Gender]]="M","Male",IF( orders[[#This Row],[Customer Gender]]="F","Female",IF( orders[[#This Row],[Customer Gender]]="O","Other", "Unknown")))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3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>
        <f>IF(orders[[#This Row],[Customer Gender]]="M","Male",IF( orders[[#This Row],[Customer Gender]]="F","Female",IF( orders[[#This Row],[Customer Gender]]="O","Other", "Unknown")))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3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>
        <f>IF(orders[[#This Row],[Customer Gender]]="M","Male",IF( orders[[#This Row],[Customer Gender]]="F","Female",IF( orders[[#This Row],[Customer Gender]]="O","Other", "Unknown")))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3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>
        <f>IF(orders[[#This Row],[Customer Gender]]="M","Male",IF( orders[[#This Row],[Customer Gender]]="F","Female",IF( orders[[#This Row],[Customer Gender]]="O","Other", "Unknown")))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3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>
        <f>IF(orders[[#This Row],[Customer Gender]]="M","Male",IF( orders[[#This Row],[Customer Gender]]="F","Female",IF( orders[[#This Row],[Customer Gender]]="O","Other", "Unknown")))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3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>
        <f>IF(orders[[#This Row],[Customer Gender]]="M","Male",IF( orders[[#This Row],[Customer Gender]]="F","Female",IF( orders[[#This Row],[Customer Gender]]="O","Other", "Unknown")))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3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>
        <f>IF(orders[[#This Row],[Customer Gender]]="M","Male",IF( orders[[#This Row],[Customer Gender]]="F","Female",IF( orders[[#This Row],[Customer Gender]]="O","Other", "Unknown")))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3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>
        <f>IF(orders[[#This Row],[Customer Gender]]="M","Male",IF( orders[[#This Row],[Customer Gender]]="F","Female",IF( orders[[#This Row],[Customer Gender]]="O","Other", "Unknown")))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3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>
        <f>IF(orders[[#This Row],[Customer Gender]]="M","Male",IF( orders[[#This Row],[Customer Gender]]="F","Female",IF( orders[[#This Row],[Customer Gender]]="O","Other", "Unknown")))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3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>
        <f>IF(orders[[#This Row],[Customer Gender]]="M","Male",IF( orders[[#This Row],[Customer Gender]]="F","Female",IF( orders[[#This Row],[Customer Gender]]="O","Other", "Unknown")))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3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>
        <f>IF(orders[[#This Row],[Customer Gender]]="M","Male",IF( orders[[#This Row],[Customer Gender]]="F","Female",IF( orders[[#This Row],[Customer Gender]]="O","Other", "Unknown")))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3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>
        <f>IF(orders[[#This Row],[Customer Gender]]="M","Male",IF( orders[[#This Row],[Customer Gender]]="F","Female",IF( orders[[#This Row],[Customer Gender]]="O","Other", "Unknown")))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3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>
        <f>IF(orders[[#This Row],[Customer Gender]]="M","Male",IF( orders[[#This Row],[Customer Gender]]="F","Female",IF( orders[[#This Row],[Customer Gender]]="O","Other", "Unknown")))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3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>
        <f>IF(orders[[#This Row],[Customer Gender]]="M","Male",IF( orders[[#This Row],[Customer Gender]]="F","Female",IF( orders[[#This Row],[Customer Gender]]="O","Other", "Unknown")))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3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>
        <f>IF(orders[[#This Row],[Customer Gender]]="M","Male",IF( orders[[#This Row],[Customer Gender]]="F","Female",IF( orders[[#This Row],[Customer Gender]]="O","Other", "Unknown")))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3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>
        <f>IF(orders[[#This Row],[Customer Gender]]="M","Male",IF( orders[[#This Row],[Customer Gender]]="F","Female",IF( orders[[#This Row],[Customer Gender]]="O","Other", "Unknown")))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3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>
        <f>IF(orders[[#This Row],[Customer Gender]]="M","Male",IF( orders[[#This Row],[Customer Gender]]="F","Female",IF( orders[[#This Row],[Customer Gender]]="O","Other", "Unknown")))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3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>
        <f>IF(orders[[#This Row],[Customer Gender]]="M","Male",IF( orders[[#This Row],[Customer Gender]]="F","Female",IF( orders[[#This Row],[Customer Gender]]="O","Other", "Unknown")))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3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>
        <f>IF(orders[[#This Row],[Customer Gender]]="M","Male",IF( orders[[#This Row],[Customer Gender]]="F","Female",IF( orders[[#This Row],[Customer Gender]]="O","Other", "Unknown")))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3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>
        <f>IF(orders[[#This Row],[Customer Gender]]="M","Male",IF( orders[[#This Row],[Customer Gender]]="F","Female",IF( orders[[#This Row],[Customer Gender]]="O","Other", "Unknown")))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3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>
        <f>IF(orders[[#This Row],[Customer Gender]]="M","Male",IF( orders[[#This Row],[Customer Gender]]="F","Female",IF( orders[[#This Row],[Customer Gender]]="O","Other", "Unknown")))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3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>
        <f>IF(orders[[#This Row],[Customer Gender]]="M","Male",IF( orders[[#This Row],[Customer Gender]]="F","Female",IF( orders[[#This Row],[Customer Gender]]="O","Other", "Unknown")))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3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>
        <f>IF(orders[[#This Row],[Customer Gender]]="M","Male",IF( orders[[#This Row],[Customer Gender]]="F","Female",IF( orders[[#This Row],[Customer Gender]]="O","Other", "Unknown")))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3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>
        <f>IF(orders[[#This Row],[Customer Gender]]="M","Male",IF( orders[[#This Row],[Customer Gender]]="F","Female",IF( orders[[#This Row],[Customer Gender]]="O","Other", "Unknown")))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3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>
        <f>IF(orders[[#This Row],[Customer Gender]]="M","Male",IF( orders[[#This Row],[Customer Gender]]="F","Female",IF( orders[[#This Row],[Customer Gender]]="O","Other", "Unknown")))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3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>
        <f>IF(orders[[#This Row],[Customer Gender]]="M","Male",IF( orders[[#This Row],[Customer Gender]]="F","Female",IF( orders[[#This Row],[Customer Gender]]="O","Other", "Unknown")))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3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>
        <f>IF(orders[[#This Row],[Customer Gender]]="M","Male",IF( orders[[#This Row],[Customer Gender]]="F","Female",IF( orders[[#This Row],[Customer Gender]]="O","Other", "Unknown")))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3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>
        <f>IF(orders[[#This Row],[Customer Gender]]="M","Male",IF( orders[[#This Row],[Customer Gender]]="F","Female",IF( orders[[#This Row],[Customer Gender]]="O","Other", "Unknown")))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3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>
        <f>IF(orders[[#This Row],[Customer Gender]]="M","Male",IF( orders[[#This Row],[Customer Gender]]="F","Female",IF( orders[[#This Row],[Customer Gender]]="O","Other", "Unknown")))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3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>
        <f>IF(orders[[#This Row],[Customer Gender]]="M","Male",IF( orders[[#This Row],[Customer Gender]]="F","Female",IF( orders[[#This Row],[Customer Gender]]="O","Other", "Unknown")))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3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>
        <f>IF(orders[[#This Row],[Customer Gender]]="M","Male",IF( orders[[#This Row],[Customer Gender]]="F","Female",IF( orders[[#This Row],[Customer Gender]]="O","Other", "Unknown")))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3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>
        <f>IF(orders[[#This Row],[Customer Gender]]="M","Male",IF( orders[[#This Row],[Customer Gender]]="F","Female",IF( orders[[#This Row],[Customer Gender]]="O","Other", "Unknown")))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3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>
        <f>IF(orders[[#This Row],[Customer Gender]]="M","Male",IF( orders[[#This Row],[Customer Gender]]="F","Female",IF( orders[[#This Row],[Customer Gender]]="O","Other", "Unknown")))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3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>
        <f>IF(orders[[#This Row],[Customer Gender]]="M","Male",IF( orders[[#This Row],[Customer Gender]]="F","Female",IF( orders[[#This Row],[Customer Gender]]="O","Other", "Unknown")))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3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>
        <f>IF(orders[[#This Row],[Customer Gender]]="M","Male",IF( orders[[#This Row],[Customer Gender]]="F","Female",IF( orders[[#This Row],[Customer Gender]]="O","Other", "Unknown")))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3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>
        <f>IF(orders[[#This Row],[Customer Gender]]="M","Male",IF( orders[[#This Row],[Customer Gender]]="F","Female",IF( orders[[#This Row],[Customer Gender]]="O","Other", "Unknown")))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3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>
        <f>IF(orders[[#This Row],[Customer Gender]]="M","Male",IF( orders[[#This Row],[Customer Gender]]="F","Female",IF( orders[[#This Row],[Customer Gender]]="O","Other", "Unknown")))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3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>
        <f>IF(orders[[#This Row],[Customer Gender]]="M","Male",IF( orders[[#This Row],[Customer Gender]]="F","Female",IF( orders[[#This Row],[Customer Gender]]="O","Other", "Unknown")))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3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>
        <f>IF(orders[[#This Row],[Customer Gender]]="M","Male",IF( orders[[#This Row],[Customer Gender]]="F","Female",IF( orders[[#This Row],[Customer Gender]]="O","Other", "Unknown")))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3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>
        <f>IF(orders[[#This Row],[Customer Gender]]="M","Male",IF( orders[[#This Row],[Customer Gender]]="F","Female",IF( orders[[#This Row],[Customer Gender]]="O","Other", "Unknown")))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3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>
        <f>IF(orders[[#This Row],[Customer Gender]]="M","Male",IF( orders[[#This Row],[Customer Gender]]="F","Female",IF( orders[[#This Row],[Customer Gender]]="O","Other", "Unknown")))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3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>
        <f>IF(orders[[#This Row],[Customer Gender]]="M","Male",IF( orders[[#This Row],[Customer Gender]]="F","Female",IF( orders[[#This Row],[Customer Gender]]="O","Other", "Unknown")))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3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>
        <f>IF(orders[[#This Row],[Customer Gender]]="M","Male",IF( orders[[#This Row],[Customer Gender]]="F","Female",IF( orders[[#This Row],[Customer Gender]]="O","Other", "Unknown")))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3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>
        <f>IF(orders[[#This Row],[Customer Gender]]="M","Male",IF( orders[[#This Row],[Customer Gender]]="F","Female",IF( orders[[#This Row],[Customer Gender]]="O","Other", "Unknown")))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3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>
        <f>IF(orders[[#This Row],[Customer Gender]]="M","Male",IF( orders[[#This Row],[Customer Gender]]="F","Female",IF( orders[[#This Row],[Customer Gender]]="O","Other", "Unknown")))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3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>
        <f>IF(orders[[#This Row],[Customer Gender]]="M","Male",IF( orders[[#This Row],[Customer Gender]]="F","Female",IF( orders[[#This Row],[Customer Gender]]="O","Other", "Unknown")))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3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>
        <f>IF(orders[[#This Row],[Customer Gender]]="M","Male",IF( orders[[#This Row],[Customer Gender]]="F","Female",IF( orders[[#This Row],[Customer Gender]]="O","Other", "Unknown")))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3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>
        <f>IF(orders[[#This Row],[Customer Gender]]="M","Male",IF( orders[[#This Row],[Customer Gender]]="F","Female",IF( orders[[#This Row],[Customer Gender]]="O","Other", "Unknown")))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3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>
        <f>IF(orders[[#This Row],[Customer Gender]]="M","Male",IF( orders[[#This Row],[Customer Gender]]="F","Female",IF( orders[[#This Row],[Customer Gender]]="O","Other", "Unknown")))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3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>
        <f>IF(orders[[#This Row],[Customer Gender]]="M","Male",IF( orders[[#This Row],[Customer Gender]]="F","Female",IF( orders[[#This Row],[Customer Gender]]="O","Other", "Unknown")))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3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>
        <f>IF(orders[[#This Row],[Customer Gender]]="M","Male",IF( orders[[#This Row],[Customer Gender]]="F","Female",IF( orders[[#This Row],[Customer Gender]]="O","Other", "Unknown")))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3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>
        <f>IF(orders[[#This Row],[Customer Gender]]="M","Male",IF( orders[[#This Row],[Customer Gender]]="F","Female",IF( orders[[#This Row],[Customer Gender]]="O","Other", "Unknown")))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3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>
        <f>IF(orders[[#This Row],[Customer Gender]]="M","Male",IF( orders[[#This Row],[Customer Gender]]="F","Female",IF( orders[[#This Row],[Customer Gender]]="O","Other", "Unknown")))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3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>
        <f>IF(orders[[#This Row],[Customer Gender]]="M","Male",IF( orders[[#This Row],[Customer Gender]]="F","Female",IF( orders[[#This Row],[Customer Gender]]="O","Other", "Unknown")))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3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>
        <f>IF(orders[[#This Row],[Customer Gender]]="M","Male",IF( orders[[#This Row],[Customer Gender]]="F","Female",IF( orders[[#This Row],[Customer Gender]]="O","Other", "Unknown")))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3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>
        <f>IF(orders[[#This Row],[Customer Gender]]="M","Male",IF( orders[[#This Row],[Customer Gender]]="F","Female",IF( orders[[#This Row],[Customer Gender]]="O","Other", "Unknown")))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3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>
        <f>IF(orders[[#This Row],[Customer Gender]]="M","Male",IF( orders[[#This Row],[Customer Gender]]="F","Female",IF( orders[[#This Row],[Customer Gender]]="O","Other", "Unknown")))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3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>
        <f>IF(orders[[#This Row],[Customer Gender]]="M","Male",IF( orders[[#This Row],[Customer Gender]]="F","Female",IF( orders[[#This Row],[Customer Gender]]="O","Other", "Unknown")))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3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>
        <f>IF(orders[[#This Row],[Customer Gender]]="M","Male",IF( orders[[#This Row],[Customer Gender]]="F","Female",IF( orders[[#This Row],[Customer Gender]]="O","Other", "Unknown")))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3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>
        <f>IF(orders[[#This Row],[Customer Gender]]="M","Male",IF( orders[[#This Row],[Customer Gender]]="F","Female",IF( orders[[#This Row],[Customer Gender]]="O","Other", "Unknown")))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3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>
        <f>IF(orders[[#This Row],[Customer Gender]]="M","Male",IF( orders[[#This Row],[Customer Gender]]="F","Female",IF( orders[[#This Row],[Customer Gender]]="O","Other", "Unknown")))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3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>
        <f>IF(orders[[#This Row],[Customer Gender]]="M","Male",IF( orders[[#This Row],[Customer Gender]]="F","Female",IF( orders[[#This Row],[Customer Gender]]="O","Other", "Unknown")))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3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>
        <f>IF(orders[[#This Row],[Customer Gender]]="M","Male",IF( orders[[#This Row],[Customer Gender]]="F","Female",IF( orders[[#This Row],[Customer Gender]]="O","Other", "Unknown")))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3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>
        <f>IF(orders[[#This Row],[Customer Gender]]="M","Male",IF( orders[[#This Row],[Customer Gender]]="F","Female",IF( orders[[#This Row],[Customer Gender]]="O","Other", "Unknown")))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3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>
        <f>IF(orders[[#This Row],[Customer Gender]]="M","Male",IF( orders[[#This Row],[Customer Gender]]="F","Female",IF( orders[[#This Row],[Customer Gender]]="O","Other", "Unknown")))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3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>
        <f>IF(orders[[#This Row],[Customer Gender]]="M","Male",IF( orders[[#This Row],[Customer Gender]]="F","Female",IF( orders[[#This Row],[Customer Gender]]="O","Other", "Unknown")))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3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>
        <f>IF(orders[[#This Row],[Customer Gender]]="M","Male",IF( orders[[#This Row],[Customer Gender]]="F","Female",IF( orders[[#This Row],[Customer Gender]]="O","Other", "Unknown")))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3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>
        <f>IF(orders[[#This Row],[Customer Gender]]="M","Male",IF( orders[[#This Row],[Customer Gender]]="F","Female",IF( orders[[#This Row],[Customer Gender]]="O","Other", "Unknown")))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3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>
        <f>IF(orders[[#This Row],[Customer Gender]]="M","Male",IF( orders[[#This Row],[Customer Gender]]="F","Female",IF( orders[[#This Row],[Customer Gender]]="O","Other", "Unknown")))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3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>
        <f>IF(orders[[#This Row],[Customer Gender]]="M","Male",IF( orders[[#This Row],[Customer Gender]]="F","Female",IF( orders[[#This Row],[Customer Gender]]="O","Other", "Unknown")))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3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>
        <f>IF(orders[[#This Row],[Customer Gender]]="M","Male",IF( orders[[#This Row],[Customer Gender]]="F","Female",IF( orders[[#This Row],[Customer Gender]]="O","Other", "Unknown")))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3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>
        <f>IF(orders[[#This Row],[Customer Gender]]="M","Male",IF( orders[[#This Row],[Customer Gender]]="F","Female",IF( orders[[#This Row],[Customer Gender]]="O","Other", "Unknown")))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3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>
        <f>IF(orders[[#This Row],[Customer Gender]]="M","Male",IF( orders[[#This Row],[Customer Gender]]="F","Female",IF( orders[[#This Row],[Customer Gender]]="O","Other", "Unknown")))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3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>
        <f>IF(orders[[#This Row],[Customer Gender]]="M","Male",IF( orders[[#This Row],[Customer Gender]]="F","Female",IF( orders[[#This Row],[Customer Gender]]="O","Other", "Unknown")))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3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>
        <f>IF(orders[[#This Row],[Customer Gender]]="M","Male",IF( orders[[#This Row],[Customer Gender]]="F","Female",IF( orders[[#This Row],[Customer Gender]]="O","Other", "Unknown")))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3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>
        <f>IF(orders[[#This Row],[Customer Gender]]="M","Male",IF( orders[[#This Row],[Customer Gender]]="F","Female",IF( orders[[#This Row],[Customer Gender]]="O","Other", "Unknown")))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3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>
        <f>IF(orders[[#This Row],[Customer Gender]]="M","Male",IF( orders[[#This Row],[Customer Gender]]="F","Female",IF( orders[[#This Row],[Customer Gender]]="O","Other", "Unknown")))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3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>
        <f>IF(orders[[#This Row],[Customer Gender]]="M","Male",IF( orders[[#This Row],[Customer Gender]]="F","Female",IF( orders[[#This Row],[Customer Gender]]="O","Other", "Unknown")))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3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>
        <f>IF(orders[[#This Row],[Customer Gender]]="M","Male",IF( orders[[#This Row],[Customer Gender]]="F","Female",IF( orders[[#This Row],[Customer Gender]]="O","Other", "Unknown")))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3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>
        <f>IF(orders[[#This Row],[Customer Gender]]="M","Male",IF( orders[[#This Row],[Customer Gender]]="F","Female",IF( orders[[#This Row],[Customer Gender]]="O","Other", "Unknown")))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3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>
        <f>IF(orders[[#This Row],[Customer Gender]]="M","Male",IF( orders[[#This Row],[Customer Gender]]="F","Female",IF( orders[[#This Row],[Customer Gender]]="O","Other", "Unknown")))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3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>
        <f>IF(orders[[#This Row],[Customer Gender]]="M","Male",IF( orders[[#This Row],[Customer Gender]]="F","Female",IF( orders[[#This Row],[Customer Gender]]="O","Other", "Unknown")))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3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>
        <f>IF(orders[[#This Row],[Customer Gender]]="M","Male",IF( orders[[#This Row],[Customer Gender]]="F","Female",IF( orders[[#This Row],[Customer Gender]]="O","Other", "Unknown")))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3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>
        <f>IF(orders[[#This Row],[Customer Gender]]="M","Male",IF( orders[[#This Row],[Customer Gender]]="F","Female",IF( orders[[#This Row],[Customer Gender]]="O","Other", "Unknown")))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3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>
        <f>IF(orders[[#This Row],[Customer Gender]]="M","Male",IF( orders[[#This Row],[Customer Gender]]="F","Female",IF( orders[[#This Row],[Customer Gender]]="O","Other", "Unknown")))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3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>
        <f>IF(orders[[#This Row],[Customer Gender]]="M","Male",IF( orders[[#This Row],[Customer Gender]]="F","Female",IF( orders[[#This Row],[Customer Gender]]="O","Other", "Unknown")))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3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>
        <f>IF(orders[[#This Row],[Customer Gender]]="M","Male",IF( orders[[#This Row],[Customer Gender]]="F","Female",IF( orders[[#This Row],[Customer Gender]]="O","Other", "Unknown")))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3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>
        <f>IF(orders[[#This Row],[Customer Gender]]="M","Male",IF( orders[[#This Row],[Customer Gender]]="F","Female",IF( orders[[#This Row],[Customer Gender]]="O","Other", "Unknown")))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3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>
        <f>IF(orders[[#This Row],[Customer Gender]]="M","Male",IF( orders[[#This Row],[Customer Gender]]="F","Female",IF( orders[[#This Row],[Customer Gender]]="O","Other", "Unknown")))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3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>
        <f>IF(orders[[#This Row],[Customer Gender]]="M","Male",IF( orders[[#This Row],[Customer Gender]]="F","Female",IF( orders[[#This Row],[Customer Gender]]="O","Other", "Unknown")))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3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>
        <f>IF(orders[[#This Row],[Customer Gender]]="M","Male",IF( orders[[#This Row],[Customer Gender]]="F","Female",IF( orders[[#This Row],[Customer Gender]]="O","Other", "Unknown")))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3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>
        <f>IF(orders[[#This Row],[Customer Gender]]="M","Male",IF( orders[[#This Row],[Customer Gender]]="F","Female",IF( orders[[#This Row],[Customer Gender]]="O","Other", "Unknown")))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3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>
        <f>IF(orders[[#This Row],[Customer Gender]]="M","Male",IF( orders[[#This Row],[Customer Gender]]="F","Female",IF( orders[[#This Row],[Customer Gender]]="O","Other", "Unknown")))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3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>
        <f>IF(orders[[#This Row],[Customer Gender]]="M","Male",IF( orders[[#This Row],[Customer Gender]]="F","Female",IF( orders[[#This Row],[Customer Gender]]="O","Other", "Unknown")))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3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>
        <f>IF(orders[[#This Row],[Customer Gender]]="M","Male",IF( orders[[#This Row],[Customer Gender]]="F","Female",IF( orders[[#This Row],[Customer Gender]]="O","Other", "Unknown")))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3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>
        <f>IF(orders[[#This Row],[Customer Gender]]="M","Male",IF( orders[[#This Row],[Customer Gender]]="F","Female",IF( orders[[#This Row],[Customer Gender]]="O","Other", "Unknown")))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3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>
        <f>IF(orders[[#This Row],[Customer Gender]]="M","Male",IF( orders[[#This Row],[Customer Gender]]="F","Female",IF( orders[[#This Row],[Customer Gender]]="O","Other", "Unknown")))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3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>
        <f>IF(orders[[#This Row],[Customer Gender]]="M","Male",IF( orders[[#This Row],[Customer Gender]]="F","Female",IF( orders[[#This Row],[Customer Gender]]="O","Other", "Unknown")))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3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>
        <f>IF(orders[[#This Row],[Customer Gender]]="M","Male",IF( orders[[#This Row],[Customer Gender]]="F","Female",IF( orders[[#This Row],[Customer Gender]]="O","Other", "Unknown")))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3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>
        <f>IF(orders[[#This Row],[Customer Gender]]="M","Male",IF( orders[[#This Row],[Customer Gender]]="F","Female",IF( orders[[#This Row],[Customer Gender]]="O","Other", "Unknown")))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3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>
        <f>IF(orders[[#This Row],[Customer Gender]]="M","Male",IF( orders[[#This Row],[Customer Gender]]="F","Female",IF( orders[[#This Row],[Customer Gender]]="O","Other", "Unknown")))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3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>
        <f>IF(orders[[#This Row],[Customer Gender]]="M","Male",IF( orders[[#This Row],[Customer Gender]]="F","Female",IF( orders[[#This Row],[Customer Gender]]="O","Other", "Unknown")))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3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>
        <f>IF(orders[[#This Row],[Customer Gender]]="M","Male",IF( orders[[#This Row],[Customer Gender]]="F","Female",IF( orders[[#This Row],[Customer Gender]]="O","Other", "Unknown")))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3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>
        <f>IF(orders[[#This Row],[Customer Gender]]="M","Male",IF( orders[[#This Row],[Customer Gender]]="F","Female",IF( orders[[#This Row],[Customer Gender]]="O","Other", "Unknown")))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3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>
        <f>IF(orders[[#This Row],[Customer Gender]]="M","Male",IF( orders[[#This Row],[Customer Gender]]="F","Female",IF( orders[[#This Row],[Customer Gender]]="O","Other", "Unknown")))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3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>
        <f>IF(orders[[#This Row],[Customer Gender]]="M","Male",IF( orders[[#This Row],[Customer Gender]]="F","Female",IF( orders[[#This Row],[Customer Gender]]="O","Other", "Unknown")))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3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>
        <f>IF(orders[[#This Row],[Customer Gender]]="M","Male",IF( orders[[#This Row],[Customer Gender]]="F","Female",IF( orders[[#This Row],[Customer Gender]]="O","Other", "Unknown")))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3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>
        <f>IF(orders[[#This Row],[Customer Gender]]="M","Male",IF( orders[[#This Row],[Customer Gender]]="F","Female",IF( orders[[#This Row],[Customer Gender]]="O","Other", "Unknown")))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3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>
        <f>IF(orders[[#This Row],[Customer Gender]]="M","Male",IF( orders[[#This Row],[Customer Gender]]="F","Female",IF( orders[[#This Row],[Customer Gender]]="O","Other", "Unknown")))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3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>
        <f>IF(orders[[#This Row],[Customer Gender]]="M","Male",IF( orders[[#This Row],[Customer Gender]]="F","Female",IF( orders[[#This Row],[Customer Gender]]="O","Other", "Unknown")))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3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>
        <f>IF(orders[[#This Row],[Customer Gender]]="M","Male",IF( orders[[#This Row],[Customer Gender]]="F","Female",IF( orders[[#This Row],[Customer Gender]]="O","Other", "Unknown")))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3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>
        <f>IF(orders[[#This Row],[Customer Gender]]="M","Male",IF( orders[[#This Row],[Customer Gender]]="F","Female",IF( orders[[#This Row],[Customer Gender]]="O","Other", "Unknown")))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3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>
        <f>IF(orders[[#This Row],[Customer Gender]]="M","Male",IF( orders[[#This Row],[Customer Gender]]="F","Female",IF( orders[[#This Row],[Customer Gender]]="O","Other", "Unknown")))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3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>
        <f>IF(orders[[#This Row],[Customer Gender]]="M","Male",IF( orders[[#This Row],[Customer Gender]]="F","Female",IF( orders[[#This Row],[Customer Gender]]="O","Other", "Unknown")))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3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>
        <f>IF(orders[[#This Row],[Customer Gender]]="M","Male",IF( orders[[#This Row],[Customer Gender]]="F","Female",IF( orders[[#This Row],[Customer Gender]]="O","Other", "Unknown")))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3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>
        <f>IF(orders[[#This Row],[Customer Gender]]="M","Male",IF( orders[[#This Row],[Customer Gender]]="F","Female",IF( orders[[#This Row],[Customer Gender]]="O","Other", "Unknown")))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3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>
        <f>IF(orders[[#This Row],[Customer Gender]]="M","Male",IF( orders[[#This Row],[Customer Gender]]="F","Female",IF( orders[[#This Row],[Customer Gender]]="O","Other", "Unknown")))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3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>
        <f>IF(orders[[#This Row],[Customer Gender]]="M","Male",IF( orders[[#This Row],[Customer Gender]]="F","Female",IF( orders[[#This Row],[Customer Gender]]="O","Other", "Unknown")))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3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>
        <f>IF(orders[[#This Row],[Customer Gender]]="M","Male",IF( orders[[#This Row],[Customer Gender]]="F","Female",IF( orders[[#This Row],[Customer Gender]]="O","Other", "Unknown")))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3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>
        <f>IF(orders[[#This Row],[Customer Gender]]="M","Male",IF( orders[[#This Row],[Customer Gender]]="F","Female",IF( orders[[#This Row],[Customer Gender]]="O","Other", "Unknown")))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3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>
        <f>IF(orders[[#This Row],[Customer Gender]]="M","Male",IF( orders[[#This Row],[Customer Gender]]="F","Female",IF( orders[[#This Row],[Customer Gender]]="O","Other", "Unknown")))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3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>
        <f>IF(orders[[#This Row],[Customer Gender]]="M","Male",IF( orders[[#This Row],[Customer Gender]]="F","Female",IF( orders[[#This Row],[Customer Gender]]="O","Other", "Unknown")))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3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>
        <f>IF(orders[[#This Row],[Customer Gender]]="M","Male",IF( orders[[#This Row],[Customer Gender]]="F","Female",IF( orders[[#This Row],[Customer Gender]]="O","Other", "Unknown")))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3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>
        <f>IF(orders[[#This Row],[Customer Gender]]="M","Male",IF( orders[[#This Row],[Customer Gender]]="F","Female",IF( orders[[#This Row],[Customer Gender]]="O","Other", "Unknown")))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3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>
        <f>IF(orders[[#This Row],[Customer Gender]]="M","Male",IF( orders[[#This Row],[Customer Gender]]="F","Female",IF( orders[[#This Row],[Customer Gender]]="O","Other", "Unknown")))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3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>
        <f>IF(orders[[#This Row],[Customer Gender]]="M","Male",IF( orders[[#This Row],[Customer Gender]]="F","Female",IF( orders[[#This Row],[Customer Gender]]="O","Other", "Unknown")))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3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>
        <f>IF(orders[[#This Row],[Customer Gender]]="M","Male",IF( orders[[#This Row],[Customer Gender]]="F","Female",IF( orders[[#This Row],[Customer Gender]]="O","Other", "Unknown")))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3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>
        <f>IF(orders[[#This Row],[Customer Gender]]="M","Male",IF( orders[[#This Row],[Customer Gender]]="F","Female",IF( orders[[#This Row],[Customer Gender]]="O","Other", "Unknown")))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3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>
        <f>IF(orders[[#This Row],[Customer Gender]]="M","Male",IF( orders[[#This Row],[Customer Gender]]="F","Female",IF( orders[[#This Row],[Customer Gender]]="O","Other", "Unknown")))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3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>
        <f>IF(orders[[#This Row],[Customer Gender]]="M","Male",IF( orders[[#This Row],[Customer Gender]]="F","Female",IF( orders[[#This Row],[Customer Gender]]="O","Other", "Unknown")))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3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>
        <f>IF(orders[[#This Row],[Customer Gender]]="M","Male",IF( orders[[#This Row],[Customer Gender]]="F","Female",IF( orders[[#This Row],[Customer Gender]]="O","Other", "Unknown")))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3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>
        <f>IF(orders[[#This Row],[Customer Gender]]="M","Male",IF( orders[[#This Row],[Customer Gender]]="F","Female",IF( orders[[#This Row],[Customer Gender]]="O","Other", "Unknown")))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3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>
        <f>IF(orders[[#This Row],[Customer Gender]]="M","Male",IF( orders[[#This Row],[Customer Gender]]="F","Female",IF( orders[[#This Row],[Customer Gender]]="O","Other", "Unknown")))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3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>
        <f>IF(orders[[#This Row],[Customer Gender]]="M","Male",IF( orders[[#This Row],[Customer Gender]]="F","Female",IF( orders[[#This Row],[Customer Gender]]="O","Other", "Unknown")))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3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>
        <f>IF(orders[[#This Row],[Customer Gender]]="M","Male",IF( orders[[#This Row],[Customer Gender]]="F","Female",IF( orders[[#This Row],[Customer Gender]]="O","Other", "Unknown")))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3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>
        <f>IF(orders[[#This Row],[Customer Gender]]="M","Male",IF( orders[[#This Row],[Customer Gender]]="F","Female",IF( orders[[#This Row],[Customer Gender]]="O","Other", "Unknown")))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3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>
        <f>IF(orders[[#This Row],[Customer Gender]]="M","Male",IF( orders[[#This Row],[Customer Gender]]="F","Female",IF( orders[[#This Row],[Customer Gender]]="O","Other", "Unknown")))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3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>
        <f>IF(orders[[#This Row],[Customer Gender]]="M","Male",IF( orders[[#This Row],[Customer Gender]]="F","Female",IF( orders[[#This Row],[Customer Gender]]="O","Other", "Unknown")))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3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>
        <f>IF(orders[[#This Row],[Customer Gender]]="M","Male",IF( orders[[#This Row],[Customer Gender]]="F","Female",IF( orders[[#This Row],[Customer Gender]]="O","Other", "Unknown")))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3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>
        <f>IF(orders[[#This Row],[Customer Gender]]="M","Male",IF( orders[[#This Row],[Customer Gender]]="F","Female",IF( orders[[#This Row],[Customer Gender]]="O","Other", "Unknown")))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3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>
        <f>IF(orders[[#This Row],[Customer Gender]]="M","Male",IF( orders[[#This Row],[Customer Gender]]="F","Female",IF( orders[[#This Row],[Customer Gender]]="O","Other", "Unknown")))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3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>
        <f>IF(orders[[#This Row],[Customer Gender]]="M","Male",IF( orders[[#This Row],[Customer Gender]]="F","Female",IF( orders[[#This Row],[Customer Gender]]="O","Other", "Unknown")))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3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>
        <f>IF(orders[[#This Row],[Customer Gender]]="M","Male",IF( orders[[#This Row],[Customer Gender]]="F","Female",IF( orders[[#This Row],[Customer Gender]]="O","Other", "Unknown")))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3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>
        <f>IF(orders[[#This Row],[Customer Gender]]="M","Male",IF( orders[[#This Row],[Customer Gender]]="F","Female",IF( orders[[#This Row],[Customer Gender]]="O","Other", "Unknown")))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3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>
        <f>IF(orders[[#This Row],[Customer Gender]]="M","Male",IF( orders[[#This Row],[Customer Gender]]="F","Female",IF( orders[[#This Row],[Customer Gender]]="O","Other", "Unknown")))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3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>
        <f>IF(orders[[#This Row],[Customer Gender]]="M","Male",IF( orders[[#This Row],[Customer Gender]]="F","Female",IF( orders[[#This Row],[Customer Gender]]="O","Other", "Unknown")))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3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>
        <f>IF(orders[[#This Row],[Customer Gender]]="M","Male",IF( orders[[#This Row],[Customer Gender]]="F","Female",IF( orders[[#This Row],[Customer Gender]]="O","Other", "Unknown")))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3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>
        <f>IF(orders[[#This Row],[Customer Gender]]="M","Male",IF( orders[[#This Row],[Customer Gender]]="F","Female",IF( orders[[#This Row],[Customer Gender]]="O","Other", "Unknown")))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3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>
        <f>IF(orders[[#This Row],[Customer Gender]]="M","Male",IF( orders[[#This Row],[Customer Gender]]="F","Female",IF( orders[[#This Row],[Customer Gender]]="O","Other", "Unknown")))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3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>
        <f>IF(orders[[#This Row],[Customer Gender]]="M","Male",IF( orders[[#This Row],[Customer Gender]]="F","Female",IF( orders[[#This Row],[Customer Gender]]="O","Other", "Unknown")))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3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>
        <f>IF(orders[[#This Row],[Customer Gender]]="M","Male",IF( orders[[#This Row],[Customer Gender]]="F","Female",IF( orders[[#This Row],[Customer Gender]]="O","Other", "Unknown")))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3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>
        <f>IF(orders[[#This Row],[Customer Gender]]="M","Male",IF( orders[[#This Row],[Customer Gender]]="F","Female",IF( orders[[#This Row],[Customer Gender]]="O","Other", "Unknown")))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3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>
        <f>IF(orders[[#This Row],[Customer Gender]]="M","Male",IF( orders[[#This Row],[Customer Gender]]="F","Female",IF( orders[[#This Row],[Customer Gender]]="O","Other", "Unknown")))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3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>
        <f>IF(orders[[#This Row],[Customer Gender]]="M","Male",IF( orders[[#This Row],[Customer Gender]]="F","Female",IF( orders[[#This Row],[Customer Gender]]="O","Other", "Unknown")))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3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>
        <f>IF(orders[[#This Row],[Customer Gender]]="M","Male",IF( orders[[#This Row],[Customer Gender]]="F","Female",IF( orders[[#This Row],[Customer Gender]]="O","Other", "Unknown")))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3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>
        <f>IF(orders[[#This Row],[Customer Gender]]="M","Male",IF( orders[[#This Row],[Customer Gender]]="F","Female",IF( orders[[#This Row],[Customer Gender]]="O","Other", "Unknown")))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3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>
        <f>IF(orders[[#This Row],[Customer Gender]]="M","Male",IF( orders[[#This Row],[Customer Gender]]="F","Female",IF( orders[[#This Row],[Customer Gender]]="O","Other", "Unknown")))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3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>
        <f>IF(orders[[#This Row],[Customer Gender]]="M","Male",IF( orders[[#This Row],[Customer Gender]]="F","Female",IF( orders[[#This Row],[Customer Gender]]="O","Other", "Unknown")))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3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>
        <f>IF(orders[[#This Row],[Customer Gender]]="M","Male",IF( orders[[#This Row],[Customer Gender]]="F","Female",IF( orders[[#This Row],[Customer Gender]]="O","Other", "Unknown")))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3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>
        <f>IF(orders[[#This Row],[Customer Gender]]="M","Male",IF( orders[[#This Row],[Customer Gender]]="F","Female",IF( orders[[#This Row],[Customer Gender]]="O","Other", "Unknown")))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3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>
        <f>IF(orders[[#This Row],[Customer Gender]]="M","Male",IF( orders[[#This Row],[Customer Gender]]="F","Female",IF( orders[[#This Row],[Customer Gender]]="O","Other", "Unknown")))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3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>
        <f>IF(orders[[#This Row],[Customer Gender]]="M","Male",IF( orders[[#This Row],[Customer Gender]]="F","Female",IF( orders[[#This Row],[Customer Gender]]="O","Other", "Unknown")))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3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>
        <f>IF(orders[[#This Row],[Customer Gender]]="M","Male",IF( orders[[#This Row],[Customer Gender]]="F","Female",IF( orders[[#This Row],[Customer Gender]]="O","Other", "Unknown")))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3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>
        <f>IF(orders[[#This Row],[Customer Gender]]="M","Male",IF( orders[[#This Row],[Customer Gender]]="F","Female",IF( orders[[#This Row],[Customer Gender]]="O","Other", "Unknown")))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3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>
        <f>IF(orders[[#This Row],[Customer Gender]]="M","Male",IF( orders[[#This Row],[Customer Gender]]="F","Female",IF( orders[[#This Row],[Customer Gender]]="O","Other", "Unknown")))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3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>
        <f>IF(orders[[#This Row],[Customer Gender]]="M","Male",IF( orders[[#This Row],[Customer Gender]]="F","Female",IF( orders[[#This Row],[Customer Gender]]="O","Other", "Unknown")))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3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>
        <f>IF(orders[[#This Row],[Customer Gender]]="M","Male",IF( orders[[#This Row],[Customer Gender]]="F","Female",IF( orders[[#This Row],[Customer Gender]]="O","Other", "Unknown")))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3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>
        <f>IF(orders[[#This Row],[Customer Gender]]="M","Male",IF( orders[[#This Row],[Customer Gender]]="F","Female",IF( orders[[#This Row],[Customer Gender]]="O","Other", "Unknown")))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3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>
        <f>IF(orders[[#This Row],[Customer Gender]]="M","Male",IF( orders[[#This Row],[Customer Gender]]="F","Female",IF( orders[[#This Row],[Customer Gender]]="O","Other", "Unknown")))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3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>
        <f>IF(orders[[#This Row],[Customer Gender]]="M","Male",IF( orders[[#This Row],[Customer Gender]]="F","Female",IF( orders[[#This Row],[Customer Gender]]="O","Other", "Unknown")))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3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>
        <f>IF(orders[[#This Row],[Customer Gender]]="M","Male",IF( orders[[#This Row],[Customer Gender]]="F","Female",IF( orders[[#This Row],[Customer Gender]]="O","Other", "Unknown")))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3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>
        <f>IF(orders[[#This Row],[Customer Gender]]="M","Male",IF( orders[[#This Row],[Customer Gender]]="F","Female",IF( orders[[#This Row],[Customer Gender]]="O","Other", "Unknown")))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3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>
        <f>IF(orders[[#This Row],[Customer Gender]]="M","Male",IF( orders[[#This Row],[Customer Gender]]="F","Female",IF( orders[[#This Row],[Customer Gender]]="O","Other", "Unknown")))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3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>
        <f>IF(orders[[#This Row],[Customer Gender]]="M","Male",IF( orders[[#This Row],[Customer Gender]]="F","Female",IF( orders[[#This Row],[Customer Gender]]="O","Other", "Unknown")))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3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>
        <f>IF(orders[[#This Row],[Customer Gender]]="M","Male",IF( orders[[#This Row],[Customer Gender]]="F","Female",IF( orders[[#This Row],[Customer Gender]]="O","Other", "Unknown")))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3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>
        <f>IF(orders[[#This Row],[Customer Gender]]="M","Male",IF( orders[[#This Row],[Customer Gender]]="F","Female",IF( orders[[#This Row],[Customer Gender]]="O","Other", "Unknown")))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3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>
        <f>IF(orders[[#This Row],[Customer Gender]]="M","Male",IF( orders[[#This Row],[Customer Gender]]="F","Female",IF( orders[[#This Row],[Customer Gender]]="O","Other", "Unknown")))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3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>
        <f>IF(orders[[#This Row],[Customer Gender]]="M","Male",IF( orders[[#This Row],[Customer Gender]]="F","Female",IF( orders[[#This Row],[Customer Gender]]="O","Other", "Unknown")))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3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>
        <f>IF(orders[[#This Row],[Customer Gender]]="M","Male",IF( orders[[#This Row],[Customer Gender]]="F","Female",IF( orders[[#This Row],[Customer Gender]]="O","Other", "Unknown")))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3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>
        <f>IF(orders[[#This Row],[Customer Gender]]="M","Male",IF( orders[[#This Row],[Customer Gender]]="F","Female",IF( orders[[#This Row],[Customer Gender]]="O","Other", "Unknown")))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3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>
        <f>IF(orders[[#This Row],[Customer Gender]]="M","Male",IF( orders[[#This Row],[Customer Gender]]="F","Female",IF( orders[[#This Row],[Customer Gender]]="O","Other", "Unknown")))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3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>
        <f>IF(orders[[#This Row],[Customer Gender]]="M","Male",IF( orders[[#This Row],[Customer Gender]]="F","Female",IF( orders[[#This Row],[Customer Gender]]="O","Other", "Unknown")))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3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>
        <f>IF(orders[[#This Row],[Customer Gender]]="M","Male",IF( orders[[#This Row],[Customer Gender]]="F","Female",IF( orders[[#This Row],[Customer Gender]]="O","Other", "Unknown")))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3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>
        <f>IF(orders[[#This Row],[Customer Gender]]="M","Male",IF( orders[[#This Row],[Customer Gender]]="F","Female",IF( orders[[#This Row],[Customer Gender]]="O","Other", "Unknown")))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3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>
        <f>IF(orders[[#This Row],[Customer Gender]]="M","Male",IF( orders[[#This Row],[Customer Gender]]="F","Female",IF( orders[[#This Row],[Customer Gender]]="O","Other", "Unknown")))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3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>
        <f>IF(orders[[#This Row],[Customer Gender]]="M","Male",IF( orders[[#This Row],[Customer Gender]]="F","Female",IF( orders[[#This Row],[Customer Gender]]="O","Other", "Unknown")))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3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>
        <f>IF(orders[[#This Row],[Customer Gender]]="M","Male",IF( orders[[#This Row],[Customer Gender]]="F","Female",IF( orders[[#This Row],[Customer Gender]]="O","Other", "Unknown")))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3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>
        <f>IF(orders[[#This Row],[Customer Gender]]="M","Male",IF( orders[[#This Row],[Customer Gender]]="F","Female",IF( orders[[#This Row],[Customer Gender]]="O","Other", "Unknown")))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3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>
        <f>IF(orders[[#This Row],[Customer Gender]]="M","Male",IF( orders[[#This Row],[Customer Gender]]="F","Female",IF( orders[[#This Row],[Customer Gender]]="O","Other", "Unknown")))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3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>
        <f>IF(orders[[#This Row],[Customer Gender]]="M","Male",IF( orders[[#This Row],[Customer Gender]]="F","Female",IF( orders[[#This Row],[Customer Gender]]="O","Other", "Unknown")))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3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>
        <f>IF(orders[[#This Row],[Customer Gender]]="M","Male",IF( orders[[#This Row],[Customer Gender]]="F","Female",IF( orders[[#This Row],[Customer Gender]]="O","Other", "Unknown")))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3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>
        <f>IF(orders[[#This Row],[Customer Gender]]="M","Male",IF( orders[[#This Row],[Customer Gender]]="F","Female",IF( orders[[#This Row],[Customer Gender]]="O","Other", "Unknown")))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3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>
        <f>IF(orders[[#This Row],[Customer Gender]]="M","Male",IF( orders[[#This Row],[Customer Gender]]="F","Female",IF( orders[[#This Row],[Customer Gender]]="O","Other", "Unknown")))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3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>
        <f>IF(orders[[#This Row],[Customer Gender]]="M","Male",IF( orders[[#This Row],[Customer Gender]]="F","Female",IF( orders[[#This Row],[Customer Gender]]="O","Other", "Unknown")))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3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>
        <f>IF(orders[[#This Row],[Customer Gender]]="M","Male",IF( orders[[#This Row],[Customer Gender]]="F","Female",IF( orders[[#This Row],[Customer Gender]]="O","Other", "Unknown")))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3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>
        <f>IF(orders[[#This Row],[Customer Gender]]="M","Male",IF( orders[[#This Row],[Customer Gender]]="F","Female",IF( orders[[#This Row],[Customer Gender]]="O","Other", "Unknown")))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3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>
        <f>IF(orders[[#This Row],[Customer Gender]]="M","Male",IF( orders[[#This Row],[Customer Gender]]="F","Female",IF( orders[[#This Row],[Customer Gender]]="O","Other", "Unknown")))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3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>
        <f>IF(orders[[#This Row],[Customer Gender]]="M","Male",IF( orders[[#This Row],[Customer Gender]]="F","Female",IF( orders[[#This Row],[Customer Gender]]="O","Other", "Unknown")))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3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>
        <f>IF(orders[[#This Row],[Customer Gender]]="M","Male",IF( orders[[#This Row],[Customer Gender]]="F","Female",IF( orders[[#This Row],[Customer Gender]]="O","Other", "Unknown")))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3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>
        <f>IF(orders[[#This Row],[Customer Gender]]="M","Male",IF( orders[[#This Row],[Customer Gender]]="F","Female",IF( orders[[#This Row],[Customer Gender]]="O","Other", "Unknown")))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3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>
        <f>IF(orders[[#This Row],[Customer Gender]]="M","Male",IF( orders[[#This Row],[Customer Gender]]="F","Female",IF( orders[[#This Row],[Customer Gender]]="O","Other", "Unknown")))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3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>
        <f>IF(orders[[#This Row],[Customer Gender]]="M","Male",IF( orders[[#This Row],[Customer Gender]]="F","Female",IF( orders[[#This Row],[Customer Gender]]="O","Other", "Unknown")))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3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>
        <f>IF(orders[[#This Row],[Customer Gender]]="M","Male",IF( orders[[#This Row],[Customer Gender]]="F","Female",IF( orders[[#This Row],[Customer Gender]]="O","Other", "Unknown")))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3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>
        <f>IF(orders[[#This Row],[Customer Gender]]="M","Male",IF( orders[[#This Row],[Customer Gender]]="F","Female",IF( orders[[#This Row],[Customer Gender]]="O","Other", "Unknown")))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3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>
        <f>IF(orders[[#This Row],[Customer Gender]]="M","Male",IF( orders[[#This Row],[Customer Gender]]="F","Female",IF( orders[[#This Row],[Customer Gender]]="O","Other", "Unknown")))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3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>
        <f>IF(orders[[#This Row],[Customer Gender]]="M","Male",IF( orders[[#This Row],[Customer Gender]]="F","Female",IF( orders[[#This Row],[Customer Gender]]="O","Other", "Unknown")))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3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>
        <f>IF(orders[[#This Row],[Customer Gender]]="M","Male",IF( orders[[#This Row],[Customer Gender]]="F","Female",IF( orders[[#This Row],[Customer Gender]]="O","Other", "Unknown")))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3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>
        <f>IF(orders[[#This Row],[Customer Gender]]="M","Male",IF( orders[[#This Row],[Customer Gender]]="F","Female",IF( orders[[#This Row],[Customer Gender]]="O","Other", "Unknown")))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3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>
        <f>IF(orders[[#This Row],[Customer Gender]]="M","Male",IF( orders[[#This Row],[Customer Gender]]="F","Female",IF( orders[[#This Row],[Customer Gender]]="O","Other", "Unknown")))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3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>
        <f>IF(orders[[#This Row],[Customer Gender]]="M","Male",IF( orders[[#This Row],[Customer Gender]]="F","Female",IF( orders[[#This Row],[Customer Gender]]="O","Other", "Unknown")))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3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>
        <f>IF(orders[[#This Row],[Customer Gender]]="M","Male",IF( orders[[#This Row],[Customer Gender]]="F","Female",IF( orders[[#This Row],[Customer Gender]]="O","Other", "Unknown")))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3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>
        <f>IF(orders[[#This Row],[Customer Gender]]="M","Male",IF( orders[[#This Row],[Customer Gender]]="F","Female",IF( orders[[#This Row],[Customer Gender]]="O","Other", "Unknown")))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3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>
        <f>IF(orders[[#This Row],[Customer Gender]]="M","Male",IF( orders[[#This Row],[Customer Gender]]="F","Female",IF( orders[[#This Row],[Customer Gender]]="O","Other", "Unknown")))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3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>
        <f>IF(orders[[#This Row],[Customer Gender]]="M","Male",IF( orders[[#This Row],[Customer Gender]]="F","Female",IF( orders[[#This Row],[Customer Gender]]="O","Other", "Unknown")))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3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>
        <f>IF(orders[[#This Row],[Customer Gender]]="M","Male",IF( orders[[#This Row],[Customer Gender]]="F","Female",IF( orders[[#This Row],[Customer Gender]]="O","Other", "Unknown")))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3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>
        <f>IF(orders[[#This Row],[Customer Gender]]="M","Male",IF( orders[[#This Row],[Customer Gender]]="F","Female",IF( orders[[#This Row],[Customer Gender]]="O","Other", "Unknown")))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3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>
        <f>IF(orders[[#This Row],[Customer Gender]]="M","Male",IF( orders[[#This Row],[Customer Gender]]="F","Female",IF( orders[[#This Row],[Customer Gender]]="O","Other", "Unknown")))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3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>
        <f>IF(orders[[#This Row],[Customer Gender]]="M","Male",IF( orders[[#This Row],[Customer Gender]]="F","Female",IF( orders[[#This Row],[Customer Gender]]="O","Other", "Unknown")))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3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>
        <f>IF(orders[[#This Row],[Customer Gender]]="M","Male",IF( orders[[#This Row],[Customer Gender]]="F","Female",IF( orders[[#This Row],[Customer Gender]]="O","Other", "Unknown")))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3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>
        <f>IF(orders[[#This Row],[Customer Gender]]="M","Male",IF( orders[[#This Row],[Customer Gender]]="F","Female",IF( orders[[#This Row],[Customer Gender]]="O","Other", "Unknown")))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3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>
        <f>IF(orders[[#This Row],[Customer Gender]]="M","Male",IF( orders[[#This Row],[Customer Gender]]="F","Female",IF( orders[[#This Row],[Customer Gender]]="O","Other", "Unknown")))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3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>
        <f>IF(orders[[#This Row],[Customer Gender]]="M","Male",IF( orders[[#This Row],[Customer Gender]]="F","Female",IF( orders[[#This Row],[Customer Gender]]="O","Other", "Unknown")))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3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>
        <f>IF(orders[[#This Row],[Customer Gender]]="M","Male",IF( orders[[#This Row],[Customer Gender]]="F","Female",IF( orders[[#This Row],[Customer Gender]]="O","Other", "Unknown")))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3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>
        <f>IF(orders[[#This Row],[Customer Gender]]="M","Male",IF( orders[[#This Row],[Customer Gender]]="F","Female",IF( orders[[#This Row],[Customer Gender]]="O","Other", "Unknown")))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3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>
        <f>IF(orders[[#This Row],[Customer Gender]]="M","Male",IF( orders[[#This Row],[Customer Gender]]="F","Female",IF( orders[[#This Row],[Customer Gender]]="O","Other", "Unknown")))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3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>
        <f>IF(orders[[#This Row],[Customer Gender]]="M","Male",IF( orders[[#This Row],[Customer Gender]]="F","Female",IF( orders[[#This Row],[Customer Gender]]="O","Other", "Unknown")))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3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>
        <f>IF(orders[[#This Row],[Customer Gender]]="M","Male",IF( orders[[#This Row],[Customer Gender]]="F","Female",IF( orders[[#This Row],[Customer Gender]]="O","Other", "Unknown")))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3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>
        <f>IF(orders[[#This Row],[Customer Gender]]="M","Male",IF( orders[[#This Row],[Customer Gender]]="F","Female",IF( orders[[#This Row],[Customer Gender]]="O","Other", "Unknown")))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3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>
        <f>IF(orders[[#This Row],[Customer Gender]]="M","Male",IF( orders[[#This Row],[Customer Gender]]="F","Female",IF( orders[[#This Row],[Customer Gender]]="O","Other", "Unknown")))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3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>
        <f>IF(orders[[#This Row],[Customer Gender]]="M","Male",IF( orders[[#This Row],[Customer Gender]]="F","Female",IF( orders[[#This Row],[Customer Gender]]="O","Other", "Unknown")))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3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>
        <f>IF(orders[[#This Row],[Customer Gender]]="M","Male",IF( orders[[#This Row],[Customer Gender]]="F","Female",IF( orders[[#This Row],[Customer Gender]]="O","Other", "Unknown")))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3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>
        <f>IF(orders[[#This Row],[Customer Gender]]="M","Male",IF( orders[[#This Row],[Customer Gender]]="F","Female",IF( orders[[#This Row],[Customer Gender]]="O","Other", "Unknown")))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3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>
        <f>IF(orders[[#This Row],[Customer Gender]]="M","Male",IF( orders[[#This Row],[Customer Gender]]="F","Female",IF( orders[[#This Row],[Customer Gender]]="O","Other", "Unknown")))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3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>
        <f>IF(orders[[#This Row],[Customer Gender]]="M","Male",IF( orders[[#This Row],[Customer Gender]]="F","Female",IF( orders[[#This Row],[Customer Gender]]="O","Other", "Unknown")))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3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>
        <f>IF(orders[[#This Row],[Customer Gender]]="M","Male",IF( orders[[#This Row],[Customer Gender]]="F","Female",IF( orders[[#This Row],[Customer Gender]]="O","Other", "Unknown")))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3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>
        <f>IF(orders[[#This Row],[Customer Gender]]="M","Male",IF( orders[[#This Row],[Customer Gender]]="F","Female",IF( orders[[#This Row],[Customer Gender]]="O","Other", "Unknown")))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3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>
        <f>IF(orders[[#This Row],[Customer Gender]]="M","Male",IF( orders[[#This Row],[Customer Gender]]="F","Female",IF( orders[[#This Row],[Customer Gender]]="O","Other", "Unknown")))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3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>
        <f>IF(orders[[#This Row],[Customer Gender]]="M","Male",IF( orders[[#This Row],[Customer Gender]]="F","Female",IF( orders[[#This Row],[Customer Gender]]="O","Other", "Unknown")))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3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>
        <f>IF(orders[[#This Row],[Customer Gender]]="M","Male",IF( orders[[#This Row],[Customer Gender]]="F","Female",IF( orders[[#This Row],[Customer Gender]]="O","Other", "Unknown")))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3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>
        <f>IF(orders[[#This Row],[Customer Gender]]="M","Male",IF( orders[[#This Row],[Customer Gender]]="F","Female",IF( orders[[#This Row],[Customer Gender]]="O","Other", "Unknown")))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3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>
        <f>IF(orders[[#This Row],[Customer Gender]]="M","Male",IF( orders[[#This Row],[Customer Gender]]="F","Female",IF( orders[[#This Row],[Customer Gender]]="O","Other", "Unknown")))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3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>
        <f>IF(orders[[#This Row],[Customer Gender]]="M","Male",IF( orders[[#This Row],[Customer Gender]]="F","Female",IF( orders[[#This Row],[Customer Gender]]="O","Other", "Unknown")))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3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>
        <f>IF(orders[[#This Row],[Customer Gender]]="M","Male",IF( orders[[#This Row],[Customer Gender]]="F","Female",IF( orders[[#This Row],[Customer Gender]]="O","Other", "Unknown")))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3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>
        <f>IF(orders[[#This Row],[Customer Gender]]="M","Male",IF( orders[[#This Row],[Customer Gender]]="F","Female",IF( orders[[#This Row],[Customer Gender]]="O","Other", "Unknown")))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3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>
        <f>IF(orders[[#This Row],[Customer Gender]]="M","Male",IF( orders[[#This Row],[Customer Gender]]="F","Female",IF( orders[[#This Row],[Customer Gender]]="O","Other", "Unknown")))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3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>
        <f>IF(orders[[#This Row],[Customer Gender]]="M","Male",IF( orders[[#This Row],[Customer Gender]]="F","Female",IF( orders[[#This Row],[Customer Gender]]="O","Other", "Unknown")))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3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>
        <f>IF(orders[[#This Row],[Customer Gender]]="M","Male",IF( orders[[#This Row],[Customer Gender]]="F","Female",IF( orders[[#This Row],[Customer Gender]]="O","Other", "Unknown")))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3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>
        <f>IF(orders[[#This Row],[Customer Gender]]="M","Male",IF( orders[[#This Row],[Customer Gender]]="F","Female",IF( orders[[#This Row],[Customer Gender]]="O","Other", "Unknown")))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3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>
        <f>IF(orders[[#This Row],[Customer Gender]]="M","Male",IF( orders[[#This Row],[Customer Gender]]="F","Female",IF( orders[[#This Row],[Customer Gender]]="O","Other", "Unknown")))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3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>
        <f>IF(orders[[#This Row],[Customer Gender]]="M","Male",IF( orders[[#This Row],[Customer Gender]]="F","Female",IF( orders[[#This Row],[Customer Gender]]="O","Other", "Unknown")))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3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>
        <f>IF(orders[[#This Row],[Customer Gender]]="M","Male",IF( orders[[#This Row],[Customer Gender]]="F","Female",IF( orders[[#This Row],[Customer Gender]]="O","Other", "Unknown")))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3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>
        <f>IF(orders[[#This Row],[Customer Gender]]="M","Male",IF( orders[[#This Row],[Customer Gender]]="F","Female",IF( orders[[#This Row],[Customer Gender]]="O","Other", "Unknown")))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3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>
        <f>IF(orders[[#This Row],[Customer Gender]]="M","Male",IF( orders[[#This Row],[Customer Gender]]="F","Female",IF( orders[[#This Row],[Customer Gender]]="O","Other", "Unknown")))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3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>
        <f>IF(orders[[#This Row],[Customer Gender]]="M","Male",IF( orders[[#This Row],[Customer Gender]]="F","Female",IF( orders[[#This Row],[Customer Gender]]="O","Other", "Unknown")))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3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>
        <f>IF(orders[[#This Row],[Customer Gender]]="M","Male",IF( orders[[#This Row],[Customer Gender]]="F","Female",IF( orders[[#This Row],[Customer Gender]]="O","Other", "Unknown")))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3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>
        <f>IF(orders[[#This Row],[Customer Gender]]="M","Male",IF( orders[[#This Row],[Customer Gender]]="F","Female",IF( orders[[#This Row],[Customer Gender]]="O","Other", "Unknown")))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3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>
        <f>IF(orders[[#This Row],[Customer Gender]]="M","Male",IF( orders[[#This Row],[Customer Gender]]="F","Female",IF( orders[[#This Row],[Customer Gender]]="O","Other", "Unknown")))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3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>
        <f>IF(orders[[#This Row],[Customer Gender]]="M","Male",IF( orders[[#This Row],[Customer Gender]]="F","Female",IF( orders[[#This Row],[Customer Gender]]="O","Other", "Unknown")))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3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>
        <f>IF(orders[[#This Row],[Customer Gender]]="M","Male",IF( orders[[#This Row],[Customer Gender]]="F","Female",IF( orders[[#This Row],[Customer Gender]]="O","Other", "Unknown")))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3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>
        <f>IF(orders[[#This Row],[Customer Gender]]="M","Male",IF( orders[[#This Row],[Customer Gender]]="F","Female",IF( orders[[#This Row],[Customer Gender]]="O","Other", "Unknown")))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3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>
        <f>IF(orders[[#This Row],[Customer Gender]]="M","Male",IF( orders[[#This Row],[Customer Gender]]="F","Female",IF( orders[[#This Row],[Customer Gender]]="O","Other", "Unknown")))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3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>
        <f>IF(orders[[#This Row],[Customer Gender]]="M","Male",IF( orders[[#This Row],[Customer Gender]]="F","Female",IF( orders[[#This Row],[Customer Gender]]="O","Other", "Unknown")))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3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>
        <f>IF(orders[[#This Row],[Customer Gender]]="M","Male",IF( orders[[#This Row],[Customer Gender]]="F","Female",IF( orders[[#This Row],[Customer Gender]]="O","Other", "Unknown")))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3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>
        <f>IF(orders[[#This Row],[Customer Gender]]="M","Male",IF( orders[[#This Row],[Customer Gender]]="F","Female",IF( orders[[#This Row],[Customer Gender]]="O","Other", "Unknown")))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3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>
        <f>IF(orders[[#This Row],[Customer Gender]]="M","Male",IF( orders[[#This Row],[Customer Gender]]="F","Female",IF( orders[[#This Row],[Customer Gender]]="O","Other", "Unknown")))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3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>
        <f>IF(orders[[#This Row],[Customer Gender]]="M","Male",IF( orders[[#This Row],[Customer Gender]]="F","Female",IF( orders[[#This Row],[Customer Gender]]="O","Other", "Unknown")))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3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>
        <f>IF(orders[[#This Row],[Customer Gender]]="M","Male",IF( orders[[#This Row],[Customer Gender]]="F","Female",IF( orders[[#This Row],[Customer Gender]]="O","Other", "Unknown")))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3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>
        <f>IF(orders[[#This Row],[Customer Gender]]="M","Male",IF( orders[[#This Row],[Customer Gender]]="F","Female",IF( orders[[#This Row],[Customer Gender]]="O","Other", "Unknown")))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3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>
        <f>IF(orders[[#This Row],[Customer Gender]]="M","Male",IF( orders[[#This Row],[Customer Gender]]="F","Female",IF( orders[[#This Row],[Customer Gender]]="O","Other", "Unknown")))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3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>
        <f>IF(orders[[#This Row],[Customer Gender]]="M","Male",IF( orders[[#This Row],[Customer Gender]]="F","Female",IF( orders[[#This Row],[Customer Gender]]="O","Other", "Unknown")))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3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>
        <f>IF(orders[[#This Row],[Customer Gender]]="M","Male",IF( orders[[#This Row],[Customer Gender]]="F","Female",IF( orders[[#This Row],[Customer Gender]]="O","Other", "Unknown")))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3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>
        <f>IF(orders[[#This Row],[Customer Gender]]="M","Male",IF( orders[[#This Row],[Customer Gender]]="F","Female",IF( orders[[#This Row],[Customer Gender]]="O","Other", "Unknown")))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3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>
        <f>IF(orders[[#This Row],[Customer Gender]]="M","Male",IF( orders[[#This Row],[Customer Gender]]="F","Female",IF( orders[[#This Row],[Customer Gender]]="O","Other", "Unknown")))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3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>
        <f>IF(orders[[#This Row],[Customer Gender]]="M","Male",IF( orders[[#This Row],[Customer Gender]]="F","Female",IF( orders[[#This Row],[Customer Gender]]="O","Other", "Unknown")))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3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>
        <f>IF(orders[[#This Row],[Customer Gender]]="M","Male",IF( orders[[#This Row],[Customer Gender]]="F","Female",IF( orders[[#This Row],[Customer Gender]]="O","Other", "Unknown")))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3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>
        <f>IF(orders[[#This Row],[Customer Gender]]="M","Male",IF( orders[[#This Row],[Customer Gender]]="F","Female",IF( orders[[#This Row],[Customer Gender]]="O","Other", "Unknown")))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3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>
        <f>IF(orders[[#This Row],[Customer Gender]]="M","Male",IF( orders[[#This Row],[Customer Gender]]="F","Female",IF( orders[[#This Row],[Customer Gender]]="O","Other", "Unknown")))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3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>
        <f>IF(orders[[#This Row],[Customer Gender]]="M","Male",IF( orders[[#This Row],[Customer Gender]]="F","Female",IF( orders[[#This Row],[Customer Gender]]="O","Other", "Unknown")))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3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>
        <f>IF(orders[[#This Row],[Customer Gender]]="M","Male",IF( orders[[#This Row],[Customer Gender]]="F","Female",IF( orders[[#This Row],[Customer Gender]]="O","Other", "Unknown")))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3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>
        <f>IF(orders[[#This Row],[Customer Gender]]="M","Male",IF( orders[[#This Row],[Customer Gender]]="F","Female",IF( orders[[#This Row],[Customer Gender]]="O","Other", "Unknown")))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3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>
        <f>IF(orders[[#This Row],[Customer Gender]]="M","Male",IF( orders[[#This Row],[Customer Gender]]="F","Female",IF( orders[[#This Row],[Customer Gender]]="O","Other", "Unknown")))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3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>
        <f>IF(orders[[#This Row],[Customer Gender]]="M","Male",IF( orders[[#This Row],[Customer Gender]]="F","Female",IF( orders[[#This Row],[Customer Gender]]="O","Other", "Unknown")))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3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>
        <f>IF(orders[[#This Row],[Customer Gender]]="M","Male",IF( orders[[#This Row],[Customer Gender]]="F","Female",IF( orders[[#This Row],[Customer Gender]]="O","Other", "Unknown")))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3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>
        <f>IF(orders[[#This Row],[Customer Gender]]="M","Male",IF( orders[[#This Row],[Customer Gender]]="F","Female",IF( orders[[#This Row],[Customer Gender]]="O","Other", "Unknown")))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3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>
        <f>IF(orders[[#This Row],[Customer Gender]]="M","Male",IF( orders[[#This Row],[Customer Gender]]="F","Female",IF( orders[[#This Row],[Customer Gender]]="O","Other", "Unknown")))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3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>
        <f>IF(orders[[#This Row],[Customer Gender]]="M","Male",IF( orders[[#This Row],[Customer Gender]]="F","Female",IF( orders[[#This Row],[Customer Gender]]="O","Other", "Unknown")))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3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>
        <f>IF(orders[[#This Row],[Customer Gender]]="M","Male",IF( orders[[#This Row],[Customer Gender]]="F","Female",IF( orders[[#This Row],[Customer Gender]]="O","Other", "Unknown")))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3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>
        <f>IF(orders[[#This Row],[Customer Gender]]="M","Male",IF( orders[[#This Row],[Customer Gender]]="F","Female",IF( orders[[#This Row],[Customer Gender]]="O","Other", "Unknown")))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3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>
        <f>IF(orders[[#This Row],[Customer Gender]]="M","Male",IF( orders[[#This Row],[Customer Gender]]="F","Female",IF( orders[[#This Row],[Customer Gender]]="O","Other", "Unknown")))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3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>
        <f>IF(orders[[#This Row],[Customer Gender]]="M","Male",IF( orders[[#This Row],[Customer Gender]]="F","Female",IF( orders[[#This Row],[Customer Gender]]="O","Other", "Unknown")))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3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>
        <f>IF(orders[[#This Row],[Customer Gender]]="M","Male",IF( orders[[#This Row],[Customer Gender]]="F","Female",IF( orders[[#This Row],[Customer Gender]]="O","Other", "Unknown")))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3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>
        <f>IF(orders[[#This Row],[Customer Gender]]="M","Male",IF( orders[[#This Row],[Customer Gender]]="F","Female",IF( orders[[#This Row],[Customer Gender]]="O","Other", "Unknown")))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3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>
        <f>IF(orders[[#This Row],[Customer Gender]]="M","Male",IF( orders[[#This Row],[Customer Gender]]="F","Female",IF( orders[[#This Row],[Customer Gender]]="O","Other", "Unknown")))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3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>
        <f>IF(orders[[#This Row],[Customer Gender]]="M","Male",IF( orders[[#This Row],[Customer Gender]]="F","Female",IF( orders[[#This Row],[Customer Gender]]="O","Other", "Unknown")))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3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>
        <f>IF(orders[[#This Row],[Customer Gender]]="M","Male",IF( orders[[#This Row],[Customer Gender]]="F","Female",IF( orders[[#This Row],[Customer Gender]]="O","Other", "Unknown")))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3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>
        <f>IF(orders[[#This Row],[Customer Gender]]="M","Male",IF( orders[[#This Row],[Customer Gender]]="F","Female",IF( orders[[#This Row],[Customer Gender]]="O","Other", "Unknown")))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3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>
        <f>IF(orders[[#This Row],[Customer Gender]]="M","Male",IF( orders[[#This Row],[Customer Gender]]="F","Female",IF( orders[[#This Row],[Customer Gender]]="O","Other", "Unknown")))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3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>
        <f>IF(orders[[#This Row],[Customer Gender]]="M","Male",IF( orders[[#This Row],[Customer Gender]]="F","Female",IF( orders[[#This Row],[Customer Gender]]="O","Other", "Unknown")))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3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>
        <f>IF(orders[[#This Row],[Customer Gender]]="M","Male",IF( orders[[#This Row],[Customer Gender]]="F","Female",IF( orders[[#This Row],[Customer Gender]]="O","Other", "Unknown")))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3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>
        <f>IF(orders[[#This Row],[Customer Gender]]="M","Male",IF( orders[[#This Row],[Customer Gender]]="F","Female",IF( orders[[#This Row],[Customer Gender]]="O","Other", "Unknown")))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3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>
        <f>IF(orders[[#This Row],[Customer Gender]]="M","Male",IF( orders[[#This Row],[Customer Gender]]="F","Female",IF( orders[[#This Row],[Customer Gender]]="O","Other", "Unknown")))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3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>
        <f>IF(orders[[#This Row],[Customer Gender]]="M","Male",IF( orders[[#This Row],[Customer Gender]]="F","Female",IF( orders[[#This Row],[Customer Gender]]="O","Other", "Unknown")))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3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>
        <f>IF(orders[[#This Row],[Customer Gender]]="M","Male",IF( orders[[#This Row],[Customer Gender]]="F","Female",IF( orders[[#This Row],[Customer Gender]]="O","Other", "Unknown")))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3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>
        <f>IF(orders[[#This Row],[Customer Gender]]="M","Male",IF( orders[[#This Row],[Customer Gender]]="F","Female",IF( orders[[#This Row],[Customer Gender]]="O","Other", "Unknown")))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3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>
        <f>IF(orders[[#This Row],[Customer Gender]]="M","Male",IF( orders[[#This Row],[Customer Gender]]="F","Female",IF( orders[[#This Row],[Customer Gender]]="O","Other", "Unknown")))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3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>
        <f>IF(orders[[#This Row],[Customer Gender]]="M","Male",IF( orders[[#This Row],[Customer Gender]]="F","Female",IF( orders[[#This Row],[Customer Gender]]="O","Other", "Unknown")))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3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>
        <f>IF(orders[[#This Row],[Customer Gender]]="M","Male",IF( orders[[#This Row],[Customer Gender]]="F","Female",IF( orders[[#This Row],[Customer Gender]]="O","Other", "Unknown")))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3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>
        <f>IF(orders[[#This Row],[Customer Gender]]="M","Male",IF( orders[[#This Row],[Customer Gender]]="F","Female",IF( orders[[#This Row],[Customer Gender]]="O","Other", "Unknown")))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3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>
        <f>IF(orders[[#This Row],[Customer Gender]]="M","Male",IF( orders[[#This Row],[Customer Gender]]="F","Female",IF( orders[[#This Row],[Customer Gender]]="O","Other", "Unknown")))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3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>
        <f>IF(orders[[#This Row],[Customer Gender]]="M","Male",IF( orders[[#This Row],[Customer Gender]]="F","Female",IF( orders[[#This Row],[Customer Gender]]="O","Other", "Unknown")))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3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>
        <f>IF(orders[[#This Row],[Customer Gender]]="M","Male",IF( orders[[#This Row],[Customer Gender]]="F","Female",IF( orders[[#This Row],[Customer Gender]]="O","Other", "Unknown")))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3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>
        <f>IF(orders[[#This Row],[Customer Gender]]="M","Male",IF( orders[[#This Row],[Customer Gender]]="F","Female",IF( orders[[#This Row],[Customer Gender]]="O","Other", "Unknown")))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3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>
        <f>IF(orders[[#This Row],[Customer Gender]]="M","Male",IF( orders[[#This Row],[Customer Gender]]="F","Female",IF( orders[[#This Row],[Customer Gender]]="O","Other", "Unknown")))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3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>
        <f>IF(orders[[#This Row],[Customer Gender]]="M","Male",IF( orders[[#This Row],[Customer Gender]]="F","Female",IF( orders[[#This Row],[Customer Gender]]="O","Other", "Unknown")))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3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>
        <f>IF(orders[[#This Row],[Customer Gender]]="M","Male",IF( orders[[#This Row],[Customer Gender]]="F","Female",IF( orders[[#This Row],[Customer Gender]]="O","Other", "Unknown")))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3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>
        <f>IF(orders[[#This Row],[Customer Gender]]="M","Male",IF( orders[[#This Row],[Customer Gender]]="F","Female",IF( orders[[#This Row],[Customer Gender]]="O","Other", "Unknown")))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3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>
        <f>IF(orders[[#This Row],[Customer Gender]]="M","Male",IF( orders[[#This Row],[Customer Gender]]="F","Female",IF( orders[[#This Row],[Customer Gender]]="O","Other", "Unknown")))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3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>
        <f>IF(orders[[#This Row],[Customer Gender]]="M","Male",IF( orders[[#This Row],[Customer Gender]]="F","Female",IF( orders[[#This Row],[Customer Gender]]="O","Other", "Unknown")))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3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>
        <f>IF(orders[[#This Row],[Customer Gender]]="M","Male",IF( orders[[#This Row],[Customer Gender]]="F","Female",IF( orders[[#This Row],[Customer Gender]]="O","Other", "Unknown")))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3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>
        <f>IF(orders[[#This Row],[Customer Gender]]="M","Male",IF( orders[[#This Row],[Customer Gender]]="F","Female",IF( orders[[#This Row],[Customer Gender]]="O","Other", "Unknown")))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3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>
        <f>IF(orders[[#This Row],[Customer Gender]]="M","Male",IF( orders[[#This Row],[Customer Gender]]="F","Female",IF( orders[[#This Row],[Customer Gender]]="O","Other", "Unknown")))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3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>
        <f>IF(orders[[#This Row],[Customer Gender]]="M","Male",IF( orders[[#This Row],[Customer Gender]]="F","Female",IF( orders[[#This Row],[Customer Gender]]="O","Other", "Unknown")))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3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>
        <f>IF(orders[[#This Row],[Customer Gender]]="M","Male",IF( orders[[#This Row],[Customer Gender]]="F","Female",IF( orders[[#This Row],[Customer Gender]]="O","Other", "Unknown")))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3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>
        <f>IF(orders[[#This Row],[Customer Gender]]="M","Male",IF( orders[[#This Row],[Customer Gender]]="F","Female",IF( orders[[#This Row],[Customer Gender]]="O","Other", "Unknown")))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3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>
        <f>IF(orders[[#This Row],[Customer Gender]]="M","Male",IF( orders[[#This Row],[Customer Gender]]="F","Female",IF( orders[[#This Row],[Customer Gender]]="O","Other", "Unknown")))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3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>
        <f>IF(orders[[#This Row],[Customer Gender]]="M","Male",IF( orders[[#This Row],[Customer Gender]]="F","Female",IF( orders[[#This Row],[Customer Gender]]="O","Other", "Unknown")))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3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>
        <f>IF(orders[[#This Row],[Customer Gender]]="M","Male",IF( orders[[#This Row],[Customer Gender]]="F","Female",IF( orders[[#This Row],[Customer Gender]]="O","Other", "Unknown")))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3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>
        <f>IF(orders[[#This Row],[Customer Gender]]="M","Male",IF( orders[[#This Row],[Customer Gender]]="F","Female",IF( orders[[#This Row],[Customer Gender]]="O","Other", "Unknown")))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3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>
        <f>IF(orders[[#This Row],[Customer Gender]]="M","Male",IF( orders[[#This Row],[Customer Gender]]="F","Female",IF( orders[[#This Row],[Customer Gender]]="O","Other", "Unknown")))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3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>
        <f>IF(orders[[#This Row],[Customer Gender]]="M","Male",IF( orders[[#This Row],[Customer Gender]]="F","Female",IF( orders[[#This Row],[Customer Gender]]="O","Other", "Unknown")))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3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>
        <f>IF(orders[[#This Row],[Customer Gender]]="M","Male",IF( orders[[#This Row],[Customer Gender]]="F","Female",IF( orders[[#This Row],[Customer Gender]]="O","Other", "Unknown")))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3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>
        <f>IF(orders[[#This Row],[Customer Gender]]="M","Male",IF( orders[[#This Row],[Customer Gender]]="F","Female",IF( orders[[#This Row],[Customer Gender]]="O","Other", "Unknown")))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3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>
        <f>IF(orders[[#This Row],[Customer Gender]]="M","Male",IF( orders[[#This Row],[Customer Gender]]="F","Female",IF( orders[[#This Row],[Customer Gender]]="O","Other", "Unknown")))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3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>
        <f>IF(orders[[#This Row],[Customer Gender]]="M","Male",IF( orders[[#This Row],[Customer Gender]]="F","Female",IF( orders[[#This Row],[Customer Gender]]="O","Other", "Unknown")))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3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>
        <f>IF(orders[[#This Row],[Customer Gender]]="M","Male",IF( orders[[#This Row],[Customer Gender]]="F","Female",IF( orders[[#This Row],[Customer Gender]]="O","Other", "Unknown")))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3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>
        <f>IF(orders[[#This Row],[Customer Gender]]="M","Male",IF( orders[[#This Row],[Customer Gender]]="F","Female",IF( orders[[#This Row],[Customer Gender]]="O","Other", "Unknown")))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3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>
        <f>IF(orders[[#This Row],[Customer Gender]]="M","Male",IF( orders[[#This Row],[Customer Gender]]="F","Female",IF( orders[[#This Row],[Customer Gender]]="O","Other", "Unknown")))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3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>
        <f>IF(orders[[#This Row],[Customer Gender]]="M","Male",IF( orders[[#This Row],[Customer Gender]]="F","Female",IF( orders[[#This Row],[Customer Gender]]="O","Other", "Unknown")))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3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>
        <f>IF(orders[[#This Row],[Customer Gender]]="M","Male",IF( orders[[#This Row],[Customer Gender]]="F","Female",IF( orders[[#This Row],[Customer Gender]]="O","Other", "Unknown")))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3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>
        <f>IF(orders[[#This Row],[Customer Gender]]="M","Male",IF( orders[[#This Row],[Customer Gender]]="F","Female",IF( orders[[#This Row],[Customer Gender]]="O","Other", "Unknown")))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3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>
        <f>IF(orders[[#This Row],[Customer Gender]]="M","Male",IF( orders[[#This Row],[Customer Gender]]="F","Female",IF( orders[[#This Row],[Customer Gender]]="O","Other", "Unknown")))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3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>
        <f>IF(orders[[#This Row],[Customer Gender]]="M","Male",IF( orders[[#This Row],[Customer Gender]]="F","Female",IF( orders[[#This Row],[Customer Gender]]="O","Other", "Unknown")))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3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>
        <f>IF(orders[[#This Row],[Customer Gender]]="M","Male",IF( orders[[#This Row],[Customer Gender]]="F","Female",IF( orders[[#This Row],[Customer Gender]]="O","Other", "Unknown")))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3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>
        <f>IF(orders[[#This Row],[Customer Gender]]="M","Male",IF( orders[[#This Row],[Customer Gender]]="F","Female",IF( orders[[#This Row],[Customer Gender]]="O","Other", "Unknown")))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3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>
        <f>IF(orders[[#This Row],[Customer Gender]]="M","Male",IF( orders[[#This Row],[Customer Gender]]="F","Female",IF( orders[[#This Row],[Customer Gender]]="O","Other", "Unknown")))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3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>
        <f>IF(orders[[#This Row],[Customer Gender]]="M","Male",IF( orders[[#This Row],[Customer Gender]]="F","Female",IF( orders[[#This Row],[Customer Gender]]="O","Other", "Unknown")))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3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>
        <f>IF(orders[[#This Row],[Customer Gender]]="M","Male",IF( orders[[#This Row],[Customer Gender]]="F","Female",IF( orders[[#This Row],[Customer Gender]]="O","Other", "Unknown")))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3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>
        <f>IF(orders[[#This Row],[Customer Gender]]="M","Male",IF( orders[[#This Row],[Customer Gender]]="F","Female",IF( orders[[#This Row],[Customer Gender]]="O","Other", "Unknown")))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3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>
        <f>IF(orders[[#This Row],[Customer Gender]]="M","Male",IF( orders[[#This Row],[Customer Gender]]="F","Female",IF( orders[[#This Row],[Customer Gender]]="O","Other", "Unknown")))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3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>
        <f>IF(orders[[#This Row],[Customer Gender]]="M","Male",IF( orders[[#This Row],[Customer Gender]]="F","Female",IF( orders[[#This Row],[Customer Gender]]="O","Other", "Unknown")))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3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>
        <f>IF(orders[[#This Row],[Customer Gender]]="M","Male",IF( orders[[#This Row],[Customer Gender]]="F","Female",IF( orders[[#This Row],[Customer Gender]]="O","Other", "Unknown")))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3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>
        <f>IF(orders[[#This Row],[Customer Gender]]="M","Male",IF( orders[[#This Row],[Customer Gender]]="F","Female",IF( orders[[#This Row],[Customer Gender]]="O","Other", "Unknown")))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3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>
        <f>IF(orders[[#This Row],[Customer Gender]]="M","Male",IF( orders[[#This Row],[Customer Gender]]="F","Female",IF( orders[[#This Row],[Customer Gender]]="O","Other", "Unknown")))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3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>
        <f>IF(orders[[#This Row],[Customer Gender]]="M","Male",IF( orders[[#This Row],[Customer Gender]]="F","Female",IF( orders[[#This Row],[Customer Gender]]="O","Other", "Unknown")))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3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>
        <f>IF(orders[[#This Row],[Customer Gender]]="M","Male",IF( orders[[#This Row],[Customer Gender]]="F","Female",IF( orders[[#This Row],[Customer Gender]]="O","Other", "Unknown")))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3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>
        <f>IF(orders[[#This Row],[Customer Gender]]="M","Male",IF( orders[[#This Row],[Customer Gender]]="F","Female",IF( orders[[#This Row],[Customer Gender]]="O","Other", "Unknown")))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3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>
        <f>IF(orders[[#This Row],[Customer Gender]]="M","Male",IF( orders[[#This Row],[Customer Gender]]="F","Female",IF( orders[[#This Row],[Customer Gender]]="O","Other", "Unknown")))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3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>
        <f>IF(orders[[#This Row],[Customer Gender]]="M","Male",IF( orders[[#This Row],[Customer Gender]]="F","Female",IF( orders[[#This Row],[Customer Gender]]="O","Other", "Unknown")))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3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>
        <f>IF(orders[[#This Row],[Customer Gender]]="M","Male",IF( orders[[#This Row],[Customer Gender]]="F","Female",IF( orders[[#This Row],[Customer Gender]]="O","Other", "Unknown")))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3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>
        <f>IF(orders[[#This Row],[Customer Gender]]="M","Male",IF( orders[[#This Row],[Customer Gender]]="F","Female",IF( orders[[#This Row],[Customer Gender]]="O","Other", "Unknown")))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3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>
        <f>IF(orders[[#This Row],[Customer Gender]]="M","Male",IF( orders[[#This Row],[Customer Gender]]="F","Female",IF( orders[[#This Row],[Customer Gender]]="O","Other", "Unknown")))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3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>
        <f>IF(orders[[#This Row],[Customer Gender]]="M","Male",IF( orders[[#This Row],[Customer Gender]]="F","Female",IF( orders[[#This Row],[Customer Gender]]="O","Other", "Unknown")))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3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>
        <f>IF(orders[[#This Row],[Customer Gender]]="M","Male",IF( orders[[#This Row],[Customer Gender]]="F","Female",IF( orders[[#This Row],[Customer Gender]]="O","Other", "Unknown")))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3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>
        <f>IF(orders[[#This Row],[Customer Gender]]="M","Male",IF( orders[[#This Row],[Customer Gender]]="F","Female",IF( orders[[#This Row],[Customer Gender]]="O","Other", "Unknown")))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3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>
        <f>IF(orders[[#This Row],[Customer Gender]]="M","Male",IF( orders[[#This Row],[Customer Gender]]="F","Female",IF( orders[[#This Row],[Customer Gender]]="O","Other", "Unknown")))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3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>
        <f>IF(orders[[#This Row],[Customer Gender]]="M","Male",IF( orders[[#This Row],[Customer Gender]]="F","Female",IF( orders[[#This Row],[Customer Gender]]="O","Other", "Unknown")))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3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>
        <f>IF(orders[[#This Row],[Customer Gender]]="M","Male",IF( orders[[#This Row],[Customer Gender]]="F","Female",IF( orders[[#This Row],[Customer Gender]]="O","Other", "Unknown")))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3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>
        <f>IF(orders[[#This Row],[Customer Gender]]="M","Male",IF( orders[[#This Row],[Customer Gender]]="F","Female",IF( orders[[#This Row],[Customer Gender]]="O","Other", "Unknown")))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3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>
        <f>IF(orders[[#This Row],[Customer Gender]]="M","Male",IF( orders[[#This Row],[Customer Gender]]="F","Female",IF( orders[[#This Row],[Customer Gender]]="O","Other", "Unknown")))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3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>
        <f>IF(orders[[#This Row],[Customer Gender]]="M","Male",IF( orders[[#This Row],[Customer Gender]]="F","Female",IF( orders[[#This Row],[Customer Gender]]="O","Other", "Unknown")))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3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>
        <f>IF(orders[[#This Row],[Customer Gender]]="M","Male",IF( orders[[#This Row],[Customer Gender]]="F","Female",IF( orders[[#This Row],[Customer Gender]]="O","Other", "Unknown")))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3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>
        <f>IF(orders[[#This Row],[Customer Gender]]="M","Male",IF( orders[[#This Row],[Customer Gender]]="F","Female",IF( orders[[#This Row],[Customer Gender]]="O","Other", "Unknown")))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3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>
        <f>IF(orders[[#This Row],[Customer Gender]]="M","Male",IF( orders[[#This Row],[Customer Gender]]="F","Female",IF( orders[[#This Row],[Customer Gender]]="O","Other", "Unknown")))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3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>
        <f>IF(orders[[#This Row],[Customer Gender]]="M","Male",IF( orders[[#This Row],[Customer Gender]]="F","Female",IF( orders[[#This Row],[Customer Gender]]="O","Other", "Unknown")))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3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>
        <f>IF(orders[[#This Row],[Customer Gender]]="M","Male",IF( orders[[#This Row],[Customer Gender]]="F","Female",IF( orders[[#This Row],[Customer Gender]]="O","Other", "Unknown")))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3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>
        <f>IF(orders[[#This Row],[Customer Gender]]="M","Male",IF( orders[[#This Row],[Customer Gender]]="F","Female",IF( orders[[#This Row],[Customer Gender]]="O","Other", "Unknown")))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3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>
        <f>IF(orders[[#This Row],[Customer Gender]]="M","Male",IF( orders[[#This Row],[Customer Gender]]="F","Female",IF( orders[[#This Row],[Customer Gender]]="O","Other", "Unknown")))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3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>
        <f>IF(orders[[#This Row],[Customer Gender]]="M","Male",IF( orders[[#This Row],[Customer Gender]]="F","Female",IF( orders[[#This Row],[Customer Gender]]="O","Other", "Unknown")))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3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>
        <f>IF(orders[[#This Row],[Customer Gender]]="M","Male",IF( orders[[#This Row],[Customer Gender]]="F","Female",IF( orders[[#This Row],[Customer Gender]]="O","Other", "Unknown")))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3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>
        <f>IF(orders[[#This Row],[Customer Gender]]="M","Male",IF( orders[[#This Row],[Customer Gender]]="F","Female",IF( orders[[#This Row],[Customer Gender]]="O","Other", "Unknown")))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3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>
        <f>IF(orders[[#This Row],[Customer Gender]]="M","Male",IF( orders[[#This Row],[Customer Gender]]="F","Female",IF( orders[[#This Row],[Customer Gender]]="O","Other", "Unknown")))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3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>
        <f>IF(orders[[#This Row],[Customer Gender]]="M","Male",IF( orders[[#This Row],[Customer Gender]]="F","Female",IF( orders[[#This Row],[Customer Gender]]="O","Other", "Unknown")))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3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>
        <f>IF(orders[[#This Row],[Customer Gender]]="M","Male",IF( orders[[#This Row],[Customer Gender]]="F","Female",IF( orders[[#This Row],[Customer Gender]]="O","Other", "Unknown")))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3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>
        <f>IF(orders[[#This Row],[Customer Gender]]="M","Male",IF( orders[[#This Row],[Customer Gender]]="F","Female",IF( orders[[#This Row],[Customer Gender]]="O","Other", "Unknown")))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3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>
        <f>IF(orders[[#This Row],[Customer Gender]]="M","Male",IF( orders[[#This Row],[Customer Gender]]="F","Female",IF( orders[[#This Row],[Customer Gender]]="O","Other", "Unknown")))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3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>
        <f>IF(orders[[#This Row],[Customer Gender]]="M","Male",IF( orders[[#This Row],[Customer Gender]]="F","Female",IF( orders[[#This Row],[Customer Gender]]="O","Other", "Unknown")))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3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>
        <f>IF(orders[[#This Row],[Customer Gender]]="M","Male",IF( orders[[#This Row],[Customer Gender]]="F","Female",IF( orders[[#This Row],[Customer Gender]]="O","Other", "Unknown")))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3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>
        <f>IF(orders[[#This Row],[Customer Gender]]="M","Male",IF( orders[[#This Row],[Customer Gender]]="F","Female",IF( orders[[#This Row],[Customer Gender]]="O","Other", "Unknown")))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3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>
        <f>IF(orders[[#This Row],[Customer Gender]]="M","Male",IF( orders[[#This Row],[Customer Gender]]="F","Female",IF( orders[[#This Row],[Customer Gender]]="O","Other", "Unknown")))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3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>
        <f>IF(orders[[#This Row],[Customer Gender]]="M","Male",IF( orders[[#This Row],[Customer Gender]]="F","Female",IF( orders[[#This Row],[Customer Gender]]="O","Other", "Unknown")))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3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>
        <f>IF(orders[[#This Row],[Customer Gender]]="M","Male",IF( orders[[#This Row],[Customer Gender]]="F","Female",IF( orders[[#This Row],[Customer Gender]]="O","Other", "Unknown")))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3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>
        <f>IF(orders[[#This Row],[Customer Gender]]="M","Male",IF( orders[[#This Row],[Customer Gender]]="F","Female",IF( orders[[#This Row],[Customer Gender]]="O","Other", "Unknown")))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3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>
        <f>IF(orders[[#This Row],[Customer Gender]]="M","Male",IF( orders[[#This Row],[Customer Gender]]="F","Female",IF( orders[[#This Row],[Customer Gender]]="O","Other", "Unknown")))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3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>
        <f>IF(orders[[#This Row],[Customer Gender]]="M","Male",IF( orders[[#This Row],[Customer Gender]]="F","Female",IF( orders[[#This Row],[Customer Gender]]="O","Other", "Unknown")))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3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>
        <f>IF(orders[[#This Row],[Customer Gender]]="M","Male",IF( orders[[#This Row],[Customer Gender]]="F","Female",IF( orders[[#This Row],[Customer Gender]]="O","Other", "Unknown")))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3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>
        <f>IF(orders[[#This Row],[Customer Gender]]="M","Male",IF( orders[[#This Row],[Customer Gender]]="F","Female",IF( orders[[#This Row],[Customer Gender]]="O","Other", "Unknown")))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3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>
        <f>IF(orders[[#This Row],[Customer Gender]]="M","Male",IF( orders[[#This Row],[Customer Gender]]="F","Female",IF( orders[[#This Row],[Customer Gender]]="O","Other", "Unknown")))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3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>
        <f>IF(orders[[#This Row],[Customer Gender]]="M","Male",IF( orders[[#This Row],[Customer Gender]]="F","Female",IF( orders[[#This Row],[Customer Gender]]="O","Other", "Unknown")))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3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>
        <f>IF(orders[[#This Row],[Customer Gender]]="M","Male",IF( orders[[#This Row],[Customer Gender]]="F","Female",IF( orders[[#This Row],[Customer Gender]]="O","Other", "Unknown")))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3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>
        <f>IF(orders[[#This Row],[Customer Gender]]="M","Male",IF( orders[[#This Row],[Customer Gender]]="F","Female",IF( orders[[#This Row],[Customer Gender]]="O","Other", "Unknown")))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3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>
        <f>IF(orders[[#This Row],[Customer Gender]]="M","Male",IF( orders[[#This Row],[Customer Gender]]="F","Female",IF( orders[[#This Row],[Customer Gender]]="O","Other", "Unknown")))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3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>
        <f>IF(orders[[#This Row],[Customer Gender]]="M","Male",IF( orders[[#This Row],[Customer Gender]]="F","Female",IF( orders[[#This Row],[Customer Gender]]="O","Other", "Unknown")))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3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>
        <f>IF(orders[[#This Row],[Customer Gender]]="M","Male",IF( orders[[#This Row],[Customer Gender]]="F","Female",IF( orders[[#This Row],[Customer Gender]]="O","Other", "Unknown")))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3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>
        <f>IF(orders[[#This Row],[Customer Gender]]="M","Male",IF( orders[[#This Row],[Customer Gender]]="F","Female",IF( orders[[#This Row],[Customer Gender]]="O","Other", "Unknown")))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3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>
        <f>IF(orders[[#This Row],[Customer Gender]]="M","Male",IF( orders[[#This Row],[Customer Gender]]="F","Female",IF( orders[[#This Row],[Customer Gender]]="O","Other", "Unknown")))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3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>
        <f>IF(orders[[#This Row],[Customer Gender]]="M","Male",IF( orders[[#This Row],[Customer Gender]]="F","Female",IF( orders[[#This Row],[Customer Gender]]="O","Other", "Unknown")))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3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>
        <f>IF(orders[[#This Row],[Customer Gender]]="M","Male",IF( orders[[#This Row],[Customer Gender]]="F","Female",IF( orders[[#This Row],[Customer Gender]]="O","Other", "Unknown")))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3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>
        <f>IF(orders[[#This Row],[Customer Gender]]="M","Male",IF( orders[[#This Row],[Customer Gender]]="F","Female",IF( orders[[#This Row],[Customer Gender]]="O","Other", "Unknown")))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3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>
        <f>IF(orders[[#This Row],[Customer Gender]]="M","Male",IF( orders[[#This Row],[Customer Gender]]="F","Female",IF( orders[[#This Row],[Customer Gender]]="O","Other", "Unknown")))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3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>
        <f>IF(orders[[#This Row],[Customer Gender]]="M","Male",IF( orders[[#This Row],[Customer Gender]]="F","Female",IF( orders[[#This Row],[Customer Gender]]="O","Other", "Unknown")))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3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>
        <f>IF(orders[[#This Row],[Customer Gender]]="M","Male",IF( orders[[#This Row],[Customer Gender]]="F","Female",IF( orders[[#This Row],[Customer Gender]]="O","Other", "Unknown")))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3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>
        <f>IF(orders[[#This Row],[Customer Gender]]="M","Male",IF( orders[[#This Row],[Customer Gender]]="F","Female",IF( orders[[#This Row],[Customer Gender]]="O","Other", "Unknown")))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3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>
        <f>IF(orders[[#This Row],[Customer Gender]]="M","Male",IF( orders[[#This Row],[Customer Gender]]="F","Female",IF( orders[[#This Row],[Customer Gender]]="O","Other", "Unknown")))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3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>
        <f>IF(orders[[#This Row],[Customer Gender]]="M","Male",IF( orders[[#This Row],[Customer Gender]]="F","Female",IF( orders[[#This Row],[Customer Gender]]="O","Other", "Unknown")))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3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>
        <f>IF(orders[[#This Row],[Customer Gender]]="M","Male",IF( orders[[#This Row],[Customer Gender]]="F","Female",IF( orders[[#This Row],[Customer Gender]]="O","Other", "Unknown")))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3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>
        <f>IF(orders[[#This Row],[Customer Gender]]="M","Male",IF( orders[[#This Row],[Customer Gender]]="F","Female",IF( orders[[#This Row],[Customer Gender]]="O","Other", "Unknown")))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3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>
        <f>IF(orders[[#This Row],[Customer Gender]]="M","Male",IF( orders[[#This Row],[Customer Gender]]="F","Female",IF( orders[[#This Row],[Customer Gender]]="O","Other", "Unknown")))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3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>
        <f>IF(orders[[#This Row],[Customer Gender]]="M","Male",IF( orders[[#This Row],[Customer Gender]]="F","Female",IF( orders[[#This Row],[Customer Gender]]="O","Other", "Unknown")))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3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>
        <f>IF(orders[[#This Row],[Customer Gender]]="M","Male",IF( orders[[#This Row],[Customer Gender]]="F","Female",IF( orders[[#This Row],[Customer Gender]]="O","Other", "Unknown")))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3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>
        <f>IF(orders[[#This Row],[Customer Gender]]="M","Male",IF( orders[[#This Row],[Customer Gender]]="F","Female",IF( orders[[#This Row],[Customer Gender]]="O","Other", "Unknown")))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3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>
        <f>IF(orders[[#This Row],[Customer Gender]]="M","Male",IF( orders[[#This Row],[Customer Gender]]="F","Female",IF( orders[[#This Row],[Customer Gender]]="O","Other", "Unknown")))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3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>
        <f>IF(orders[[#This Row],[Customer Gender]]="M","Male",IF( orders[[#This Row],[Customer Gender]]="F","Female",IF( orders[[#This Row],[Customer Gender]]="O","Other", "Unknown")))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3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>
        <f>IF(orders[[#This Row],[Customer Gender]]="M","Male",IF( orders[[#This Row],[Customer Gender]]="F","Female",IF( orders[[#This Row],[Customer Gender]]="O","Other", "Unknown")))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3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>
        <f>IF(orders[[#This Row],[Customer Gender]]="M","Male",IF( orders[[#This Row],[Customer Gender]]="F","Female",IF( orders[[#This Row],[Customer Gender]]="O","Other", "Unknown")))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3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>
        <f>IF(orders[[#This Row],[Customer Gender]]="M","Male",IF( orders[[#This Row],[Customer Gender]]="F","Female",IF( orders[[#This Row],[Customer Gender]]="O","Other", "Unknown")))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3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>
        <f>IF(orders[[#This Row],[Customer Gender]]="M","Male",IF( orders[[#This Row],[Customer Gender]]="F","Female",IF( orders[[#This Row],[Customer Gender]]="O","Other", "Unknown")))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3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>
        <f>IF(orders[[#This Row],[Customer Gender]]="M","Male",IF( orders[[#This Row],[Customer Gender]]="F","Female",IF( orders[[#This Row],[Customer Gender]]="O","Other", "Unknown")))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3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>
        <f>IF(orders[[#This Row],[Customer Gender]]="M","Male",IF( orders[[#This Row],[Customer Gender]]="F","Female",IF( orders[[#This Row],[Customer Gender]]="O","Other", "Unknown")))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3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>
        <f>IF(orders[[#This Row],[Customer Gender]]="M","Male",IF( orders[[#This Row],[Customer Gender]]="F","Female",IF( orders[[#This Row],[Customer Gender]]="O","Other", "Unknown")))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3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>
        <f>IF(orders[[#This Row],[Customer Gender]]="M","Male",IF( orders[[#This Row],[Customer Gender]]="F","Female",IF( orders[[#This Row],[Customer Gender]]="O","Other", "Unknown")))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3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>
        <f>IF(orders[[#This Row],[Customer Gender]]="M","Male",IF( orders[[#This Row],[Customer Gender]]="F","Female",IF( orders[[#This Row],[Customer Gender]]="O","Other", "Unknown")))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3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>
        <f>IF(orders[[#This Row],[Customer Gender]]="M","Male",IF( orders[[#This Row],[Customer Gender]]="F","Female",IF( orders[[#This Row],[Customer Gender]]="O","Other", "Unknown")))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3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>
        <f>IF(orders[[#This Row],[Customer Gender]]="M","Male",IF( orders[[#This Row],[Customer Gender]]="F","Female",IF( orders[[#This Row],[Customer Gender]]="O","Other", "Unknown")))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3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>
        <f>IF(orders[[#This Row],[Customer Gender]]="M","Male",IF( orders[[#This Row],[Customer Gender]]="F","Female",IF( orders[[#This Row],[Customer Gender]]="O","Other", "Unknown")))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3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>
        <f>IF(orders[[#This Row],[Customer Gender]]="M","Male",IF( orders[[#This Row],[Customer Gender]]="F","Female",IF( orders[[#This Row],[Customer Gender]]="O","Other", "Unknown")))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3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>
        <f>IF(orders[[#This Row],[Customer Gender]]="M","Male",IF( orders[[#This Row],[Customer Gender]]="F","Female",IF( orders[[#This Row],[Customer Gender]]="O","Other", "Unknown")))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3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>
        <f>IF(orders[[#This Row],[Customer Gender]]="M","Male",IF( orders[[#This Row],[Customer Gender]]="F","Female",IF( orders[[#This Row],[Customer Gender]]="O","Other", "Unknown")))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3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>
        <f>IF(orders[[#This Row],[Customer Gender]]="M","Male",IF( orders[[#This Row],[Customer Gender]]="F","Female",IF( orders[[#This Row],[Customer Gender]]="O","Other", "Unknown")))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3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>
        <f>IF(orders[[#This Row],[Customer Gender]]="M","Male",IF( orders[[#This Row],[Customer Gender]]="F","Female",IF( orders[[#This Row],[Customer Gender]]="O","Other", "Unknown")))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3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>
        <f>IF(orders[[#This Row],[Customer Gender]]="M","Male",IF( orders[[#This Row],[Customer Gender]]="F","Female",IF( orders[[#This Row],[Customer Gender]]="O","Other", "Unknown")))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3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>
        <f>IF(orders[[#This Row],[Customer Gender]]="M","Male",IF( orders[[#This Row],[Customer Gender]]="F","Female",IF( orders[[#This Row],[Customer Gender]]="O","Other", "Unknown")))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3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>
        <f>IF(orders[[#This Row],[Customer Gender]]="M","Male",IF( orders[[#This Row],[Customer Gender]]="F","Female",IF( orders[[#This Row],[Customer Gender]]="O","Other", "Unknown")))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3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>
        <f>IF(orders[[#This Row],[Customer Gender]]="M","Male",IF( orders[[#This Row],[Customer Gender]]="F","Female",IF( orders[[#This Row],[Customer Gender]]="O","Other", "Unknown")))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3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>
        <f>IF(orders[[#This Row],[Customer Gender]]="M","Male",IF( orders[[#This Row],[Customer Gender]]="F","Female",IF( orders[[#This Row],[Customer Gender]]="O","Other", "Unknown")))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3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>
        <f>IF(orders[[#This Row],[Customer Gender]]="M","Male",IF( orders[[#This Row],[Customer Gender]]="F","Female",IF( orders[[#This Row],[Customer Gender]]="O","Other", "Unknown")))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3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>
        <f>IF(orders[[#This Row],[Customer Gender]]="M","Male",IF( orders[[#This Row],[Customer Gender]]="F","Female",IF( orders[[#This Row],[Customer Gender]]="O","Other", "Unknown")))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3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>
        <f>IF(orders[[#This Row],[Customer Gender]]="M","Male",IF( orders[[#This Row],[Customer Gender]]="F","Female",IF( orders[[#This Row],[Customer Gender]]="O","Other", "Unknown")))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3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>
        <f>IF(orders[[#This Row],[Customer Gender]]="M","Male",IF( orders[[#This Row],[Customer Gender]]="F","Female",IF( orders[[#This Row],[Customer Gender]]="O","Other", "Unknown")))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3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>
        <f>IF(orders[[#This Row],[Customer Gender]]="M","Male",IF( orders[[#This Row],[Customer Gender]]="F","Female",IF( orders[[#This Row],[Customer Gender]]="O","Other", "Unknown")))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3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>
        <f>IF(orders[[#This Row],[Customer Gender]]="M","Male",IF( orders[[#This Row],[Customer Gender]]="F","Female",IF( orders[[#This Row],[Customer Gender]]="O","Other", "Unknown")))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3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>
        <f>IF(orders[[#This Row],[Customer Gender]]="M","Male",IF( orders[[#This Row],[Customer Gender]]="F","Female",IF( orders[[#This Row],[Customer Gender]]="O","Other", "Unknown")))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3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>
        <f>IF(orders[[#This Row],[Customer Gender]]="M","Male",IF( orders[[#This Row],[Customer Gender]]="F","Female",IF( orders[[#This Row],[Customer Gender]]="O","Other", "Unknown")))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3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>
        <f>IF(orders[[#This Row],[Customer Gender]]="M","Male",IF( orders[[#This Row],[Customer Gender]]="F","Female",IF( orders[[#This Row],[Customer Gender]]="O","Other", "Unknown")))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3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>
        <f>IF(orders[[#This Row],[Customer Gender]]="M","Male",IF( orders[[#This Row],[Customer Gender]]="F","Female",IF( orders[[#This Row],[Customer Gender]]="O","Other", "Unknown")))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3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>
        <f>IF(orders[[#This Row],[Customer Gender]]="M","Male",IF( orders[[#This Row],[Customer Gender]]="F","Female",IF( orders[[#This Row],[Customer Gender]]="O","Other", "Unknown")))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3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>
        <f>IF(orders[[#This Row],[Customer Gender]]="M","Male",IF( orders[[#This Row],[Customer Gender]]="F","Female",IF( orders[[#This Row],[Customer Gender]]="O","Other", "Unknown")))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3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>
        <f>IF(orders[[#This Row],[Customer Gender]]="M","Male",IF( orders[[#This Row],[Customer Gender]]="F","Female",IF( orders[[#This Row],[Customer Gender]]="O","Other", "Unknown")))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3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>
        <f>IF(orders[[#This Row],[Customer Gender]]="M","Male",IF( orders[[#This Row],[Customer Gender]]="F","Female",IF( orders[[#This Row],[Customer Gender]]="O","Other", "Unknown")))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3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>
        <f>IF(orders[[#This Row],[Customer Gender]]="M","Male",IF( orders[[#This Row],[Customer Gender]]="F","Female",IF( orders[[#This Row],[Customer Gender]]="O","Other", "Unknown")))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3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>
        <f>IF(orders[[#This Row],[Customer Gender]]="M","Male",IF( orders[[#This Row],[Customer Gender]]="F","Female",IF( orders[[#This Row],[Customer Gender]]="O","Other", "Unknown")))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3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>
        <f>IF(orders[[#This Row],[Customer Gender]]="M","Male",IF( orders[[#This Row],[Customer Gender]]="F","Female",IF( orders[[#This Row],[Customer Gender]]="O","Other", "Unknown")))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3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>
        <f>IF(orders[[#This Row],[Customer Gender]]="M","Male",IF( orders[[#This Row],[Customer Gender]]="F","Female",IF( orders[[#This Row],[Customer Gender]]="O","Other", "Unknown")))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3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>
        <f>IF(orders[[#This Row],[Customer Gender]]="M","Male",IF( orders[[#This Row],[Customer Gender]]="F","Female",IF( orders[[#This Row],[Customer Gender]]="O","Other", "Unknown")))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3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>
        <f>IF(orders[[#This Row],[Customer Gender]]="M","Male",IF( orders[[#This Row],[Customer Gender]]="F","Female",IF( orders[[#This Row],[Customer Gender]]="O","Other", "Unknown")))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3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>
        <f>IF(orders[[#This Row],[Customer Gender]]="M","Male",IF( orders[[#This Row],[Customer Gender]]="F","Female",IF( orders[[#This Row],[Customer Gender]]="O","Other", "Unknown")))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3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>
        <f>IF(orders[[#This Row],[Customer Gender]]="M","Male",IF( orders[[#This Row],[Customer Gender]]="F","Female",IF( orders[[#This Row],[Customer Gender]]="O","Other", "Unknown")))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3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>
        <f>IF(orders[[#This Row],[Customer Gender]]="M","Male",IF( orders[[#This Row],[Customer Gender]]="F","Female",IF( orders[[#This Row],[Customer Gender]]="O","Other", "Unknown")))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3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>
        <f>IF(orders[[#This Row],[Customer Gender]]="M","Male",IF( orders[[#This Row],[Customer Gender]]="F","Female",IF( orders[[#This Row],[Customer Gender]]="O","Other", "Unknown")))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3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>
        <f>IF(orders[[#This Row],[Customer Gender]]="M","Male",IF( orders[[#This Row],[Customer Gender]]="F","Female",IF( orders[[#This Row],[Customer Gender]]="O","Other", "Unknown")))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3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>
        <f>IF(orders[[#This Row],[Customer Gender]]="M","Male",IF( orders[[#This Row],[Customer Gender]]="F","Female",IF( orders[[#This Row],[Customer Gender]]="O","Other", "Unknown")))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3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>
        <f>IF(orders[[#This Row],[Customer Gender]]="M","Male",IF( orders[[#This Row],[Customer Gender]]="F","Female",IF( orders[[#This Row],[Customer Gender]]="O","Other", "Unknown")))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3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>
        <f>IF(orders[[#This Row],[Customer Gender]]="M","Male",IF( orders[[#This Row],[Customer Gender]]="F","Female",IF( orders[[#This Row],[Customer Gender]]="O","Other", "Unknown")))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3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>
        <f>IF(orders[[#This Row],[Customer Gender]]="M","Male",IF( orders[[#This Row],[Customer Gender]]="F","Female",IF( orders[[#This Row],[Customer Gender]]="O","Other", "Unknown")))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3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>
        <f>IF(orders[[#This Row],[Customer Gender]]="M","Male",IF( orders[[#This Row],[Customer Gender]]="F","Female",IF( orders[[#This Row],[Customer Gender]]="O","Other", "Unknown")))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3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>
        <f>IF(orders[[#This Row],[Customer Gender]]="M","Male",IF( orders[[#This Row],[Customer Gender]]="F","Female",IF( orders[[#This Row],[Customer Gender]]="O","Other", "Unknown")))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3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>
        <f>IF(orders[[#This Row],[Customer Gender]]="M","Male",IF( orders[[#This Row],[Customer Gender]]="F","Female",IF( orders[[#This Row],[Customer Gender]]="O","Other", "Unknown")))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3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>
        <f>IF(orders[[#This Row],[Customer Gender]]="M","Male",IF( orders[[#This Row],[Customer Gender]]="F","Female",IF( orders[[#This Row],[Customer Gender]]="O","Other", "Unknown")))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3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>
        <f>IF(orders[[#This Row],[Customer Gender]]="M","Male",IF( orders[[#This Row],[Customer Gender]]="F","Female",IF( orders[[#This Row],[Customer Gender]]="O","Other", "Unknown")))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3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>
        <f>IF(orders[[#This Row],[Customer Gender]]="M","Male",IF( orders[[#This Row],[Customer Gender]]="F","Female",IF( orders[[#This Row],[Customer Gender]]="O","Other", "Unknown")))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3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>
        <f>IF(orders[[#This Row],[Customer Gender]]="M","Male",IF( orders[[#This Row],[Customer Gender]]="F","Female",IF( orders[[#This Row],[Customer Gender]]="O","Other", "Unknown")))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3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>
        <f>IF(orders[[#This Row],[Customer Gender]]="M","Male",IF( orders[[#This Row],[Customer Gender]]="F","Female",IF( orders[[#This Row],[Customer Gender]]="O","Other", "Unknown")))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3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>
        <f>IF(orders[[#This Row],[Customer Gender]]="M","Male",IF( orders[[#This Row],[Customer Gender]]="F","Female",IF( orders[[#This Row],[Customer Gender]]="O","Other", "Unknown")))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3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>
        <f>IF(orders[[#This Row],[Customer Gender]]="M","Male",IF( orders[[#This Row],[Customer Gender]]="F","Female",IF( orders[[#This Row],[Customer Gender]]="O","Other", "Unknown")))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3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>
        <f>IF(orders[[#This Row],[Customer Gender]]="M","Male",IF( orders[[#This Row],[Customer Gender]]="F","Female",IF( orders[[#This Row],[Customer Gender]]="O","Other", "Unknown")))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3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>
        <f>IF(orders[[#This Row],[Customer Gender]]="M","Male",IF( orders[[#This Row],[Customer Gender]]="F","Female",IF( orders[[#This Row],[Customer Gender]]="O","Other", "Unknown")))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3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>
        <f>IF(orders[[#This Row],[Customer Gender]]="M","Male",IF( orders[[#This Row],[Customer Gender]]="F","Female",IF( orders[[#This Row],[Customer Gender]]="O","Other", "Unknown")))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3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>
        <f>IF(orders[[#This Row],[Customer Gender]]="M","Male",IF( orders[[#This Row],[Customer Gender]]="F","Female",IF( orders[[#This Row],[Customer Gender]]="O","Other", "Unknown")))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3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>
        <f>IF(orders[[#This Row],[Customer Gender]]="M","Male",IF( orders[[#This Row],[Customer Gender]]="F","Female",IF( orders[[#This Row],[Customer Gender]]="O","Other", "Unknown")))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3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>
        <f>IF(orders[[#This Row],[Customer Gender]]="M","Male",IF( orders[[#This Row],[Customer Gender]]="F","Female",IF( orders[[#This Row],[Customer Gender]]="O","Other", "Unknown")))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3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>
        <f>IF(orders[[#This Row],[Customer Gender]]="M","Male",IF( orders[[#This Row],[Customer Gender]]="F","Female",IF( orders[[#This Row],[Customer Gender]]="O","Other", "Unknown")))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3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>
        <f>IF(orders[[#This Row],[Customer Gender]]="M","Male",IF( orders[[#This Row],[Customer Gender]]="F","Female",IF( orders[[#This Row],[Customer Gender]]="O","Other", "Unknown")))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3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>
        <f>IF(orders[[#This Row],[Customer Gender]]="M","Male",IF( orders[[#This Row],[Customer Gender]]="F","Female",IF( orders[[#This Row],[Customer Gender]]="O","Other", "Unknown")))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3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>
        <f>IF(orders[[#This Row],[Customer Gender]]="M","Male",IF( orders[[#This Row],[Customer Gender]]="F","Female",IF( orders[[#This Row],[Customer Gender]]="O","Other", "Unknown")))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3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>
        <f>IF(orders[[#This Row],[Customer Gender]]="M","Male",IF( orders[[#This Row],[Customer Gender]]="F","Female",IF( orders[[#This Row],[Customer Gender]]="O","Other", "Unknown")))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3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>
        <f>IF(orders[[#This Row],[Customer Gender]]="M","Male",IF( orders[[#This Row],[Customer Gender]]="F","Female",IF( orders[[#This Row],[Customer Gender]]="O","Other", "Unknown")))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3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>
        <f>IF(orders[[#This Row],[Customer Gender]]="M","Male",IF( orders[[#This Row],[Customer Gender]]="F","Female",IF( orders[[#This Row],[Customer Gender]]="O","Other", "Unknown")))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3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>
        <f>IF(orders[[#This Row],[Customer Gender]]="M","Male",IF( orders[[#This Row],[Customer Gender]]="F","Female",IF( orders[[#This Row],[Customer Gender]]="O","Other", "Unknown")))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3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>
        <f>IF(orders[[#This Row],[Customer Gender]]="M","Male",IF( orders[[#This Row],[Customer Gender]]="F","Female",IF( orders[[#This Row],[Customer Gender]]="O","Other", "Unknown")))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3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>
        <f>IF(orders[[#This Row],[Customer Gender]]="M","Male",IF( orders[[#This Row],[Customer Gender]]="F","Female",IF( orders[[#This Row],[Customer Gender]]="O","Other", "Unknown")))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3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>
        <f>IF(orders[[#This Row],[Customer Gender]]="M","Male",IF( orders[[#This Row],[Customer Gender]]="F","Female",IF( orders[[#This Row],[Customer Gender]]="O","Other", "Unknown")))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3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>
        <f>IF(orders[[#This Row],[Customer Gender]]="M","Male",IF( orders[[#This Row],[Customer Gender]]="F","Female",IF( orders[[#This Row],[Customer Gender]]="O","Other", "Unknown")))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3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>
        <f>IF(orders[[#This Row],[Customer Gender]]="M","Male",IF( orders[[#This Row],[Customer Gender]]="F","Female",IF( orders[[#This Row],[Customer Gender]]="O","Other", "Unknown")))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3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>
        <f>IF(orders[[#This Row],[Customer Gender]]="M","Male",IF( orders[[#This Row],[Customer Gender]]="F","Female",IF( orders[[#This Row],[Customer Gender]]="O","Other", "Unknown")))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3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>
        <f>IF(orders[[#This Row],[Customer Gender]]="M","Male",IF( orders[[#This Row],[Customer Gender]]="F","Female",IF( orders[[#This Row],[Customer Gender]]="O","Other", "Unknown")))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3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>
        <f>IF(orders[[#This Row],[Customer Gender]]="M","Male",IF( orders[[#This Row],[Customer Gender]]="F","Female",IF( orders[[#This Row],[Customer Gender]]="O","Other", "Unknown")))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3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>
        <f>IF(orders[[#This Row],[Customer Gender]]="M","Male",IF( orders[[#This Row],[Customer Gender]]="F","Female",IF( orders[[#This Row],[Customer Gender]]="O","Other", "Unknown")))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3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>
        <f>IF(orders[[#This Row],[Customer Gender]]="M","Male",IF( orders[[#This Row],[Customer Gender]]="F","Female",IF( orders[[#This Row],[Customer Gender]]="O","Other", "Unknown")))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3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>
        <f>IF(orders[[#This Row],[Customer Gender]]="M","Male",IF( orders[[#This Row],[Customer Gender]]="F","Female",IF( orders[[#This Row],[Customer Gender]]="O","Other", "Unknown")))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3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>
        <f>IF(orders[[#This Row],[Customer Gender]]="M","Male",IF( orders[[#This Row],[Customer Gender]]="F","Female",IF( orders[[#This Row],[Customer Gender]]="O","Other", "Unknown")))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3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>
        <f>IF(orders[[#This Row],[Customer Gender]]="M","Male",IF( orders[[#This Row],[Customer Gender]]="F","Female",IF( orders[[#This Row],[Customer Gender]]="O","Other", "Unknown")))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3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>
        <f>IF(orders[[#This Row],[Customer Gender]]="M","Male",IF( orders[[#This Row],[Customer Gender]]="F","Female",IF( orders[[#This Row],[Customer Gender]]="O","Other", "Unknown")))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3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>
        <f>IF(orders[[#This Row],[Customer Gender]]="M","Male",IF( orders[[#This Row],[Customer Gender]]="F","Female",IF( orders[[#This Row],[Customer Gender]]="O","Other", "Unknown")))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3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>
        <f>IF(orders[[#This Row],[Customer Gender]]="M","Male",IF( orders[[#This Row],[Customer Gender]]="F","Female",IF( orders[[#This Row],[Customer Gender]]="O","Other", "Unknown")))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3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>
        <f>IF(orders[[#This Row],[Customer Gender]]="M","Male",IF( orders[[#This Row],[Customer Gender]]="F","Female",IF( orders[[#This Row],[Customer Gender]]="O","Other", "Unknown")))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3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>
        <f>IF(orders[[#This Row],[Customer Gender]]="M","Male",IF( orders[[#This Row],[Customer Gender]]="F","Female",IF( orders[[#This Row],[Customer Gender]]="O","Other", "Unknown")))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3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>
        <f>IF(orders[[#This Row],[Customer Gender]]="M","Male",IF( orders[[#This Row],[Customer Gender]]="F","Female",IF( orders[[#This Row],[Customer Gender]]="O","Other", "Unknown")))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3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>
        <f>IF(orders[[#This Row],[Customer Gender]]="M","Male",IF( orders[[#This Row],[Customer Gender]]="F","Female",IF( orders[[#This Row],[Customer Gender]]="O","Other", "Unknown")))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3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>
        <f>IF(orders[[#This Row],[Customer Gender]]="M","Male",IF( orders[[#This Row],[Customer Gender]]="F","Female",IF( orders[[#This Row],[Customer Gender]]="O","Other", "Unknown")))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3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>
        <f>IF(orders[[#This Row],[Customer Gender]]="M","Male",IF( orders[[#This Row],[Customer Gender]]="F","Female",IF( orders[[#This Row],[Customer Gender]]="O","Other", "Unknown")))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3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>
        <f>IF(orders[[#This Row],[Customer Gender]]="M","Male",IF( orders[[#This Row],[Customer Gender]]="F","Female",IF( orders[[#This Row],[Customer Gender]]="O","Other", "Unknown")))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3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>
        <f>IF(orders[[#This Row],[Customer Gender]]="M","Male",IF( orders[[#This Row],[Customer Gender]]="F","Female",IF( orders[[#This Row],[Customer Gender]]="O","Other", "Unknown")))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3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>
        <f>IF(orders[[#This Row],[Customer Gender]]="M","Male",IF( orders[[#This Row],[Customer Gender]]="F","Female",IF( orders[[#This Row],[Customer Gender]]="O","Other", "Unknown")))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3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>
        <f>IF(orders[[#This Row],[Customer Gender]]="M","Male",IF( orders[[#This Row],[Customer Gender]]="F","Female",IF( orders[[#This Row],[Customer Gender]]="O","Other", "Unknown")))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3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>
        <f>IF(orders[[#This Row],[Customer Gender]]="M","Male",IF( orders[[#This Row],[Customer Gender]]="F","Female",IF( orders[[#This Row],[Customer Gender]]="O","Other", "Unknown")))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3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>
        <f>IF(orders[[#This Row],[Customer Gender]]="M","Male",IF( orders[[#This Row],[Customer Gender]]="F","Female",IF( orders[[#This Row],[Customer Gender]]="O","Other", "Unknown")))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3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>
        <f>IF(orders[[#This Row],[Customer Gender]]="M","Male",IF( orders[[#This Row],[Customer Gender]]="F","Female",IF( orders[[#This Row],[Customer Gender]]="O","Other", "Unknown")))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3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>
        <f>IF(orders[[#This Row],[Customer Gender]]="M","Male",IF( orders[[#This Row],[Customer Gender]]="F","Female",IF( orders[[#This Row],[Customer Gender]]="O","Other", "Unknown")))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3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>
        <f>IF(orders[[#This Row],[Customer Gender]]="M","Male",IF( orders[[#This Row],[Customer Gender]]="F","Female",IF( orders[[#This Row],[Customer Gender]]="O","Other", "Unknown")))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3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>
        <f>IF(orders[[#This Row],[Customer Gender]]="M","Male",IF( orders[[#This Row],[Customer Gender]]="F","Female",IF( orders[[#This Row],[Customer Gender]]="O","Other", "Unknown")))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3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>
        <f>IF(orders[[#This Row],[Customer Gender]]="M","Male",IF( orders[[#This Row],[Customer Gender]]="F","Female",IF( orders[[#This Row],[Customer Gender]]="O","Other", "Unknown")))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3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>
        <f>IF(orders[[#This Row],[Customer Gender]]="M","Male",IF( orders[[#This Row],[Customer Gender]]="F","Female",IF( orders[[#This Row],[Customer Gender]]="O","Other", "Unknown")))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3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>
        <f>IF(orders[[#This Row],[Customer Gender]]="M","Male",IF( orders[[#This Row],[Customer Gender]]="F","Female",IF( orders[[#This Row],[Customer Gender]]="O","Other", "Unknown")))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3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>
        <f>IF(orders[[#This Row],[Customer Gender]]="M","Male",IF( orders[[#This Row],[Customer Gender]]="F","Female",IF( orders[[#This Row],[Customer Gender]]="O","Other", "Unknown")))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3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>
        <f>IF(orders[[#This Row],[Customer Gender]]="M","Male",IF( orders[[#This Row],[Customer Gender]]="F","Female",IF( orders[[#This Row],[Customer Gender]]="O","Other", "Unknown")))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3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>
        <f>IF(orders[[#This Row],[Customer Gender]]="M","Male",IF( orders[[#This Row],[Customer Gender]]="F","Female",IF( orders[[#This Row],[Customer Gender]]="O","Other", "Unknown")))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3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>
        <f>IF(orders[[#This Row],[Customer Gender]]="M","Male",IF( orders[[#This Row],[Customer Gender]]="F","Female",IF( orders[[#This Row],[Customer Gender]]="O","Other", "Unknown")))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3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>
        <f>IF(orders[[#This Row],[Customer Gender]]="M","Male",IF( orders[[#This Row],[Customer Gender]]="F","Female",IF( orders[[#This Row],[Customer Gender]]="O","Other", "Unknown")))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3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>
        <f>IF(orders[[#This Row],[Customer Gender]]="M","Male",IF( orders[[#This Row],[Customer Gender]]="F","Female",IF( orders[[#This Row],[Customer Gender]]="O","Other", "Unknown")))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3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>
        <f>IF(orders[[#This Row],[Customer Gender]]="M","Male",IF( orders[[#This Row],[Customer Gender]]="F","Female",IF( orders[[#This Row],[Customer Gender]]="O","Other", "Unknown")))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3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>
        <f>IF(orders[[#This Row],[Customer Gender]]="M","Male",IF( orders[[#This Row],[Customer Gender]]="F","Female",IF( orders[[#This Row],[Customer Gender]]="O","Other", "Unknown")))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3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>
        <f>IF(orders[[#This Row],[Customer Gender]]="M","Male",IF( orders[[#This Row],[Customer Gender]]="F","Female",IF( orders[[#This Row],[Customer Gender]]="O","Other", "Unknown")))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3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>
        <f>IF(orders[[#This Row],[Customer Gender]]="M","Male",IF( orders[[#This Row],[Customer Gender]]="F","Female",IF( orders[[#This Row],[Customer Gender]]="O","Other", "Unknown")))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3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>
        <f>IF(orders[[#This Row],[Customer Gender]]="M","Male",IF( orders[[#This Row],[Customer Gender]]="F","Female",IF( orders[[#This Row],[Customer Gender]]="O","Other", "Unknown")))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3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>
        <f>IF(orders[[#This Row],[Customer Gender]]="M","Male",IF( orders[[#This Row],[Customer Gender]]="F","Female",IF( orders[[#This Row],[Customer Gender]]="O","Other", "Unknown")))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3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>
        <f>IF(orders[[#This Row],[Customer Gender]]="M","Male",IF( orders[[#This Row],[Customer Gender]]="F","Female",IF( orders[[#This Row],[Customer Gender]]="O","Other", "Unknown")))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3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>
        <f>IF(orders[[#This Row],[Customer Gender]]="M","Male",IF( orders[[#This Row],[Customer Gender]]="F","Female",IF( orders[[#This Row],[Customer Gender]]="O","Other", "Unknown")))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3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>
        <f>IF(orders[[#This Row],[Customer Gender]]="M","Male",IF( orders[[#This Row],[Customer Gender]]="F","Female",IF( orders[[#This Row],[Customer Gender]]="O","Other", "Unknown")))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3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>
        <f>IF(orders[[#This Row],[Customer Gender]]="M","Male",IF( orders[[#This Row],[Customer Gender]]="F","Female",IF( orders[[#This Row],[Customer Gender]]="O","Other", "Unknown")))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3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>
        <f>IF(orders[[#This Row],[Customer Gender]]="M","Male",IF( orders[[#This Row],[Customer Gender]]="F","Female",IF( orders[[#This Row],[Customer Gender]]="O","Other", "Unknown")))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3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>
        <f>IF(orders[[#This Row],[Customer Gender]]="M","Male",IF( orders[[#This Row],[Customer Gender]]="F","Female",IF( orders[[#This Row],[Customer Gender]]="O","Other", "Unknown")))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3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>
        <f>IF(orders[[#This Row],[Customer Gender]]="M","Male",IF( orders[[#This Row],[Customer Gender]]="F","Female",IF( orders[[#This Row],[Customer Gender]]="O","Other", "Unknown")))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3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>
        <f>IF(orders[[#This Row],[Customer Gender]]="M","Male",IF( orders[[#This Row],[Customer Gender]]="F","Female",IF( orders[[#This Row],[Customer Gender]]="O","Other", "Unknown")))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3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>
        <f>IF(orders[[#This Row],[Customer Gender]]="M","Male",IF( orders[[#This Row],[Customer Gender]]="F","Female",IF( orders[[#This Row],[Customer Gender]]="O","Other", "Unknown")))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3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>
        <f>IF(orders[[#This Row],[Customer Gender]]="M","Male",IF( orders[[#This Row],[Customer Gender]]="F","Female",IF( orders[[#This Row],[Customer Gender]]="O","Other", "Unknown")))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3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>
        <f>IF(orders[[#This Row],[Customer Gender]]="M","Male",IF( orders[[#This Row],[Customer Gender]]="F","Female",IF( orders[[#This Row],[Customer Gender]]="O","Other", "Unknown")))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3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>
        <f>IF(orders[[#This Row],[Customer Gender]]="M","Male",IF( orders[[#This Row],[Customer Gender]]="F","Female",IF( orders[[#This Row],[Customer Gender]]="O","Other", "Unknown")))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3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>
        <f>IF(orders[[#This Row],[Customer Gender]]="M","Male",IF( orders[[#This Row],[Customer Gender]]="F","Female",IF( orders[[#This Row],[Customer Gender]]="O","Other", "Unknown")))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3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>
        <f>IF(orders[[#This Row],[Customer Gender]]="M","Male",IF( orders[[#This Row],[Customer Gender]]="F","Female",IF( orders[[#This Row],[Customer Gender]]="O","Other", "Unknown")))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3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>
        <f>IF(orders[[#This Row],[Customer Gender]]="M","Male",IF( orders[[#This Row],[Customer Gender]]="F","Female",IF( orders[[#This Row],[Customer Gender]]="O","Other", "Unknown")))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3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>
        <f>IF(orders[[#This Row],[Customer Gender]]="M","Male",IF( orders[[#This Row],[Customer Gender]]="F","Female",IF( orders[[#This Row],[Customer Gender]]="O","Other", "Unknown")))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3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>
        <f>IF(orders[[#This Row],[Customer Gender]]="M","Male",IF( orders[[#This Row],[Customer Gender]]="F","Female",IF( orders[[#This Row],[Customer Gender]]="O","Other", "Unknown")))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3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>
        <f>IF(orders[[#This Row],[Customer Gender]]="M","Male",IF( orders[[#This Row],[Customer Gender]]="F","Female",IF( orders[[#This Row],[Customer Gender]]="O","Other", "Unknown")))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3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>
        <f>IF(orders[[#This Row],[Customer Gender]]="M","Male",IF( orders[[#This Row],[Customer Gender]]="F","Female",IF( orders[[#This Row],[Customer Gender]]="O","Other", "Unknown")))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3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>
        <f>IF(orders[[#This Row],[Customer Gender]]="M","Male",IF( orders[[#This Row],[Customer Gender]]="F","Female",IF( orders[[#This Row],[Customer Gender]]="O","Other", "Unknown")))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3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>
        <f>IF(orders[[#This Row],[Customer Gender]]="M","Male",IF( orders[[#This Row],[Customer Gender]]="F","Female",IF( orders[[#This Row],[Customer Gender]]="O","Other", "Unknown")))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3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>
        <f>IF(orders[[#This Row],[Customer Gender]]="M","Male",IF( orders[[#This Row],[Customer Gender]]="F","Female",IF( orders[[#This Row],[Customer Gender]]="O","Other", "Unknown")))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3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>
        <f>IF(orders[[#This Row],[Customer Gender]]="M","Male",IF( orders[[#This Row],[Customer Gender]]="F","Female",IF( orders[[#This Row],[Customer Gender]]="O","Other", "Unknown")))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3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>
        <f>IF(orders[[#This Row],[Customer Gender]]="M","Male",IF( orders[[#This Row],[Customer Gender]]="F","Female",IF( orders[[#This Row],[Customer Gender]]="O","Other", "Unknown")))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3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>
        <f>IF(orders[[#This Row],[Customer Gender]]="M","Male",IF( orders[[#This Row],[Customer Gender]]="F","Female",IF( orders[[#This Row],[Customer Gender]]="O","Other", "Unknown")))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3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>
        <f>IF(orders[[#This Row],[Customer Gender]]="M","Male",IF( orders[[#This Row],[Customer Gender]]="F","Female",IF( orders[[#This Row],[Customer Gender]]="O","Other", "Unknown")))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3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>
        <f>IF(orders[[#This Row],[Customer Gender]]="M","Male",IF( orders[[#This Row],[Customer Gender]]="F","Female",IF( orders[[#This Row],[Customer Gender]]="O","Other", "Unknown")))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3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>
        <f>IF(orders[[#This Row],[Customer Gender]]="M","Male",IF( orders[[#This Row],[Customer Gender]]="F","Female",IF( orders[[#This Row],[Customer Gender]]="O","Other", "Unknown")))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3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>
        <f>IF(orders[[#This Row],[Customer Gender]]="M","Male",IF( orders[[#This Row],[Customer Gender]]="F","Female",IF( orders[[#This Row],[Customer Gender]]="O","Other", "Unknown")))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3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>
        <f>IF(orders[[#This Row],[Customer Gender]]="M","Male",IF( orders[[#This Row],[Customer Gender]]="F","Female",IF( orders[[#This Row],[Customer Gender]]="O","Other", "Unknown")))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3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>
        <f>IF(orders[[#This Row],[Customer Gender]]="M","Male",IF( orders[[#This Row],[Customer Gender]]="F","Female",IF( orders[[#This Row],[Customer Gender]]="O","Other", "Unknown")))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3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>
        <f>IF(orders[[#This Row],[Customer Gender]]="M","Male",IF( orders[[#This Row],[Customer Gender]]="F","Female",IF( orders[[#This Row],[Customer Gender]]="O","Other", "Unknown")))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3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>
        <f>IF(orders[[#This Row],[Customer Gender]]="M","Male",IF( orders[[#This Row],[Customer Gender]]="F","Female",IF( orders[[#This Row],[Customer Gender]]="O","Other", "Unknown")))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3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>
        <f>IF(orders[[#This Row],[Customer Gender]]="M","Male",IF( orders[[#This Row],[Customer Gender]]="F","Female",IF( orders[[#This Row],[Customer Gender]]="O","Other", "Unknown")))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3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>
        <f>IF(orders[[#This Row],[Customer Gender]]="M","Male",IF( orders[[#This Row],[Customer Gender]]="F","Female",IF( orders[[#This Row],[Customer Gender]]="O","Other", "Unknown")))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3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>
        <f>IF(orders[[#This Row],[Customer Gender]]="M","Male",IF( orders[[#This Row],[Customer Gender]]="F","Female",IF( orders[[#This Row],[Customer Gender]]="O","Other", "Unknown")))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3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>
        <f>IF(orders[[#This Row],[Customer Gender]]="M","Male",IF( orders[[#This Row],[Customer Gender]]="F","Female",IF( orders[[#This Row],[Customer Gender]]="O","Other", "Unknown")))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3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>
        <f>IF(orders[[#This Row],[Customer Gender]]="M","Male",IF( orders[[#This Row],[Customer Gender]]="F","Female",IF( orders[[#This Row],[Customer Gender]]="O","Other", "Unknown")))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3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>
        <f>IF(orders[[#This Row],[Customer Gender]]="M","Male",IF( orders[[#This Row],[Customer Gender]]="F","Female",IF( orders[[#This Row],[Customer Gender]]="O","Other", "Unknown")))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3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>
        <f>IF(orders[[#This Row],[Customer Gender]]="M","Male",IF( orders[[#This Row],[Customer Gender]]="F","Female",IF( orders[[#This Row],[Customer Gender]]="O","Other", "Unknown")))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3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>
        <f>IF(orders[[#This Row],[Customer Gender]]="M","Male",IF( orders[[#This Row],[Customer Gender]]="F","Female",IF( orders[[#This Row],[Customer Gender]]="O","Other", "Unknown")))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3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>
        <f>IF(orders[[#This Row],[Customer Gender]]="M","Male",IF( orders[[#This Row],[Customer Gender]]="F","Female",IF( orders[[#This Row],[Customer Gender]]="O","Other", "Unknown")))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3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>
        <f>IF(orders[[#This Row],[Customer Gender]]="M","Male",IF( orders[[#This Row],[Customer Gender]]="F","Female",IF( orders[[#This Row],[Customer Gender]]="O","Other", "Unknown")))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3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>
        <f>IF(orders[[#This Row],[Customer Gender]]="M","Male",IF( orders[[#This Row],[Customer Gender]]="F","Female",IF( orders[[#This Row],[Customer Gender]]="O","Other", "Unknown")))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3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>
        <f>IF(orders[[#This Row],[Customer Gender]]="M","Male",IF( orders[[#This Row],[Customer Gender]]="F","Female",IF( orders[[#This Row],[Customer Gender]]="O","Other", "Unknown")))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3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>
        <f>IF(orders[[#This Row],[Customer Gender]]="M","Male",IF( orders[[#This Row],[Customer Gender]]="F","Female",IF( orders[[#This Row],[Customer Gender]]="O","Other", "Unknown")))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3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>
        <f>IF(orders[[#This Row],[Customer Gender]]="M","Male",IF( orders[[#This Row],[Customer Gender]]="F","Female",IF( orders[[#This Row],[Customer Gender]]="O","Other", "Unknown")))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3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>
        <f>IF(orders[[#This Row],[Customer Gender]]="M","Male",IF( orders[[#This Row],[Customer Gender]]="F","Female",IF( orders[[#This Row],[Customer Gender]]="O","Other", "Unknown")))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3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>
        <f>IF(orders[[#This Row],[Customer Gender]]="M","Male",IF( orders[[#This Row],[Customer Gender]]="F","Female",IF( orders[[#This Row],[Customer Gender]]="O","Other", "Unknown")))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3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>
        <f>IF(orders[[#This Row],[Customer Gender]]="M","Male",IF( orders[[#This Row],[Customer Gender]]="F","Female",IF( orders[[#This Row],[Customer Gender]]="O","Other", "Unknown")))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3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>
        <f>IF(orders[[#This Row],[Customer Gender]]="M","Male",IF( orders[[#This Row],[Customer Gender]]="F","Female",IF( orders[[#This Row],[Customer Gender]]="O","Other", "Unknown")))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3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>
        <f>IF(orders[[#This Row],[Customer Gender]]="M","Male",IF( orders[[#This Row],[Customer Gender]]="F","Female",IF( orders[[#This Row],[Customer Gender]]="O","Other", "Unknown")))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3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>
        <f>IF(orders[[#This Row],[Customer Gender]]="M","Male",IF( orders[[#This Row],[Customer Gender]]="F","Female",IF( orders[[#This Row],[Customer Gender]]="O","Other", "Unknown")))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3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>
        <f>IF(orders[[#This Row],[Customer Gender]]="M","Male",IF( orders[[#This Row],[Customer Gender]]="F","Female",IF( orders[[#This Row],[Customer Gender]]="O","Other", "Unknown")))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3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>
        <f>IF(orders[[#This Row],[Customer Gender]]="M","Male",IF( orders[[#This Row],[Customer Gender]]="F","Female",IF( orders[[#This Row],[Customer Gender]]="O","Other", "Unknown")))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3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>
        <f>IF(orders[[#This Row],[Customer Gender]]="M","Male",IF( orders[[#This Row],[Customer Gender]]="F","Female",IF( orders[[#This Row],[Customer Gender]]="O","Other", "Unknown")))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3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>
        <f>IF(orders[[#This Row],[Customer Gender]]="M","Male",IF( orders[[#This Row],[Customer Gender]]="F","Female",IF( orders[[#This Row],[Customer Gender]]="O","Other", "Unknown")))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3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>
        <f>IF(orders[[#This Row],[Customer Gender]]="M","Male",IF( orders[[#This Row],[Customer Gender]]="F","Female",IF( orders[[#This Row],[Customer Gender]]="O","Other", "Unknown")))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3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>
        <f>IF(orders[[#This Row],[Customer Gender]]="M","Male",IF( orders[[#This Row],[Customer Gender]]="F","Female",IF( orders[[#This Row],[Customer Gender]]="O","Other", "Unknown")))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3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>
        <f>IF(orders[[#This Row],[Customer Gender]]="M","Male",IF( orders[[#This Row],[Customer Gender]]="F","Female",IF( orders[[#This Row],[Customer Gender]]="O","Other", "Unknown")))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3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>
        <f>IF(orders[[#This Row],[Customer Gender]]="M","Male",IF( orders[[#This Row],[Customer Gender]]="F","Female",IF( orders[[#This Row],[Customer Gender]]="O","Other", "Unknown")))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3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>
        <f>IF(orders[[#This Row],[Customer Gender]]="M","Male",IF( orders[[#This Row],[Customer Gender]]="F","Female",IF( orders[[#This Row],[Customer Gender]]="O","Other", "Unknown")))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3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>
        <f>IF(orders[[#This Row],[Customer Gender]]="M","Male",IF( orders[[#This Row],[Customer Gender]]="F","Female",IF( orders[[#This Row],[Customer Gender]]="O","Other", "Unknown")))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3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>
        <f>IF(orders[[#This Row],[Customer Gender]]="M","Male",IF( orders[[#This Row],[Customer Gender]]="F","Female",IF( orders[[#This Row],[Customer Gender]]="O","Other", "Unknown")))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3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>
        <f>IF(orders[[#This Row],[Customer Gender]]="M","Male",IF( orders[[#This Row],[Customer Gender]]="F","Female",IF( orders[[#This Row],[Customer Gender]]="O","Other", "Unknown")))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3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>
        <f>IF(orders[[#This Row],[Customer Gender]]="M","Male",IF( orders[[#This Row],[Customer Gender]]="F","Female",IF( orders[[#This Row],[Customer Gender]]="O","Other", "Unknown")))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3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>
        <f>IF(orders[[#This Row],[Customer Gender]]="M","Male",IF( orders[[#This Row],[Customer Gender]]="F","Female",IF( orders[[#This Row],[Customer Gender]]="O","Other", "Unknown")))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3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>
        <f>IF(orders[[#This Row],[Customer Gender]]="M","Male",IF( orders[[#This Row],[Customer Gender]]="F","Female",IF( orders[[#This Row],[Customer Gender]]="O","Other", "Unknown")))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3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>
        <f>IF(orders[[#This Row],[Customer Gender]]="M","Male",IF( orders[[#This Row],[Customer Gender]]="F","Female",IF( orders[[#This Row],[Customer Gender]]="O","Other", "Unknown")))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3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>
        <f>IF(orders[[#This Row],[Customer Gender]]="M","Male",IF( orders[[#This Row],[Customer Gender]]="F","Female",IF( orders[[#This Row],[Customer Gender]]="O","Other", "Unknown")))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3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>
        <f>IF(orders[[#This Row],[Customer Gender]]="M","Male",IF( orders[[#This Row],[Customer Gender]]="F","Female",IF( orders[[#This Row],[Customer Gender]]="O","Other", "Unknown")))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3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>
        <f>IF(orders[[#This Row],[Customer Gender]]="M","Male",IF( orders[[#This Row],[Customer Gender]]="F","Female",IF( orders[[#This Row],[Customer Gender]]="O","Other", "Unknown")))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3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>
        <f>IF(orders[[#This Row],[Customer Gender]]="M","Male",IF( orders[[#This Row],[Customer Gender]]="F","Female",IF( orders[[#This Row],[Customer Gender]]="O","Other", "Unknown")))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3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>
        <f>IF(orders[[#This Row],[Customer Gender]]="M","Male",IF( orders[[#This Row],[Customer Gender]]="F","Female",IF( orders[[#This Row],[Customer Gender]]="O","Other", "Unknown")))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3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>
        <f>IF(orders[[#This Row],[Customer Gender]]="M","Male",IF( orders[[#This Row],[Customer Gender]]="F","Female",IF( orders[[#This Row],[Customer Gender]]="O","Other", "Unknown")))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3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>
        <f>IF(orders[[#This Row],[Customer Gender]]="M","Male",IF( orders[[#This Row],[Customer Gender]]="F","Female",IF( orders[[#This Row],[Customer Gender]]="O","Other", "Unknown")))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3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>
        <f>IF(orders[[#This Row],[Customer Gender]]="M","Male",IF( orders[[#This Row],[Customer Gender]]="F","Female",IF( orders[[#This Row],[Customer Gender]]="O","Other", "Unknown")))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3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>
        <f>IF(orders[[#This Row],[Customer Gender]]="M","Male",IF( orders[[#This Row],[Customer Gender]]="F","Female",IF( orders[[#This Row],[Customer Gender]]="O","Other", "Unknown")))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3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>
        <f>IF(orders[[#This Row],[Customer Gender]]="M","Male",IF( orders[[#This Row],[Customer Gender]]="F","Female",IF( orders[[#This Row],[Customer Gender]]="O","Other", "Unknown")))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3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>
        <f>IF(orders[[#This Row],[Customer Gender]]="M","Male",IF( orders[[#This Row],[Customer Gender]]="F","Female",IF( orders[[#This Row],[Customer Gender]]="O","Other", "Unknown")))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3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>
        <f>IF(orders[[#This Row],[Customer Gender]]="M","Male",IF( orders[[#This Row],[Customer Gender]]="F","Female",IF( orders[[#This Row],[Customer Gender]]="O","Other", "Unknown")))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3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>
        <f>IF(orders[[#This Row],[Customer Gender]]="M","Male",IF( orders[[#This Row],[Customer Gender]]="F","Female",IF( orders[[#This Row],[Customer Gender]]="O","Other", "Unknown")))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3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>
        <f>IF(orders[[#This Row],[Customer Gender]]="M","Male",IF( orders[[#This Row],[Customer Gender]]="F","Female",IF( orders[[#This Row],[Customer Gender]]="O","Other", "Unknown")))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3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>
        <f>IF(orders[[#This Row],[Customer Gender]]="M","Male",IF( orders[[#This Row],[Customer Gender]]="F","Female",IF( orders[[#This Row],[Customer Gender]]="O","Other", "Unknown")))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3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>
        <f>IF(orders[[#This Row],[Customer Gender]]="M","Male",IF( orders[[#This Row],[Customer Gender]]="F","Female",IF( orders[[#This Row],[Customer Gender]]="O","Other", "Unknown")))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3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>
        <f>IF(orders[[#This Row],[Customer Gender]]="M","Male",IF( orders[[#This Row],[Customer Gender]]="F","Female",IF( orders[[#This Row],[Customer Gender]]="O","Other", "Unknown")))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3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>
        <f>IF(orders[[#This Row],[Customer Gender]]="M","Male",IF( orders[[#This Row],[Customer Gender]]="F","Female",IF( orders[[#This Row],[Customer Gender]]="O","Other", "Unknown")))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3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>
        <f>IF(orders[[#This Row],[Customer Gender]]="M","Male",IF( orders[[#This Row],[Customer Gender]]="F","Female",IF( orders[[#This Row],[Customer Gender]]="O","Other", "Unknown")))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3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>
        <f>IF(orders[[#This Row],[Customer Gender]]="M","Male",IF( orders[[#This Row],[Customer Gender]]="F","Female",IF( orders[[#This Row],[Customer Gender]]="O","Other", "Unknown")))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3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>
        <f>IF(orders[[#This Row],[Customer Gender]]="M","Male",IF( orders[[#This Row],[Customer Gender]]="F","Female",IF( orders[[#This Row],[Customer Gender]]="O","Other", "Unknown")))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3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>
        <f>IF(orders[[#This Row],[Customer Gender]]="M","Male",IF( orders[[#This Row],[Customer Gender]]="F","Female",IF( orders[[#This Row],[Customer Gender]]="O","Other", "Unknown")))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3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>
        <f>IF(orders[[#This Row],[Customer Gender]]="M","Male",IF( orders[[#This Row],[Customer Gender]]="F","Female",IF( orders[[#This Row],[Customer Gender]]="O","Other", "Unknown")))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3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>
        <f>IF(orders[[#This Row],[Customer Gender]]="M","Male",IF( orders[[#This Row],[Customer Gender]]="F","Female",IF( orders[[#This Row],[Customer Gender]]="O","Other", "Unknown")))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3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>
        <f>IF(orders[[#This Row],[Customer Gender]]="M","Male",IF( orders[[#This Row],[Customer Gender]]="F","Female",IF( orders[[#This Row],[Customer Gender]]="O","Other", "Unknown")))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3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>
        <f>IF(orders[[#This Row],[Customer Gender]]="M","Male",IF( orders[[#This Row],[Customer Gender]]="F","Female",IF( orders[[#This Row],[Customer Gender]]="O","Other", "Unknown")))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3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>
        <f>IF(orders[[#This Row],[Customer Gender]]="M","Male",IF( orders[[#This Row],[Customer Gender]]="F","Female",IF( orders[[#This Row],[Customer Gender]]="O","Other", "Unknown")))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3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>
        <f>IF(orders[[#This Row],[Customer Gender]]="M","Male",IF( orders[[#This Row],[Customer Gender]]="F","Female",IF( orders[[#This Row],[Customer Gender]]="O","Other", "Unknown")))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3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>
        <f>IF(orders[[#This Row],[Customer Gender]]="M","Male",IF( orders[[#This Row],[Customer Gender]]="F","Female",IF( orders[[#This Row],[Customer Gender]]="O","Other", "Unknown")))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3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>
        <f>IF(orders[[#This Row],[Customer Gender]]="M","Male",IF( orders[[#This Row],[Customer Gender]]="F","Female",IF( orders[[#This Row],[Customer Gender]]="O","Other", "Unknown")))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3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>
        <f>IF(orders[[#This Row],[Customer Gender]]="M","Male",IF( orders[[#This Row],[Customer Gender]]="F","Female",IF( orders[[#This Row],[Customer Gender]]="O","Other", "Unknown")))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3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>
        <f>IF(orders[[#This Row],[Customer Gender]]="M","Male",IF( orders[[#This Row],[Customer Gender]]="F","Female",IF( orders[[#This Row],[Customer Gender]]="O","Other", "Unknown")))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3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>
        <f>IF(orders[[#This Row],[Customer Gender]]="M","Male",IF( orders[[#This Row],[Customer Gender]]="F","Female",IF( orders[[#This Row],[Customer Gender]]="O","Other", "Unknown")))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3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>
        <f>IF(orders[[#This Row],[Customer Gender]]="M","Male",IF( orders[[#This Row],[Customer Gender]]="F","Female",IF( orders[[#This Row],[Customer Gender]]="O","Other", "Unknown")))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3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>
        <f>IF(orders[[#This Row],[Customer Gender]]="M","Male",IF( orders[[#This Row],[Customer Gender]]="F","Female",IF( orders[[#This Row],[Customer Gender]]="O","Other", "Unknown")))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3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>
        <f>IF(orders[[#This Row],[Customer Gender]]="M","Male",IF( orders[[#This Row],[Customer Gender]]="F","Female",IF( orders[[#This Row],[Customer Gender]]="O","Other", "Unknown")))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3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>
        <f>IF(orders[[#This Row],[Customer Gender]]="M","Male",IF( orders[[#This Row],[Customer Gender]]="F","Female",IF( orders[[#This Row],[Customer Gender]]="O","Other", "Unknown")))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3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>
        <f>IF(orders[[#This Row],[Customer Gender]]="M","Male",IF( orders[[#This Row],[Customer Gender]]="F","Female",IF( orders[[#This Row],[Customer Gender]]="O","Other", "Unknown")))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3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>
        <f>IF(orders[[#This Row],[Customer Gender]]="M","Male",IF( orders[[#This Row],[Customer Gender]]="F","Female",IF( orders[[#This Row],[Customer Gender]]="O","Other", "Unknown")))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3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>
        <f>IF(orders[[#This Row],[Customer Gender]]="M","Male",IF( orders[[#This Row],[Customer Gender]]="F","Female",IF( orders[[#This Row],[Customer Gender]]="O","Other", "Unknown")))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3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>
        <f>IF(orders[[#This Row],[Customer Gender]]="M","Male",IF( orders[[#This Row],[Customer Gender]]="F","Female",IF( orders[[#This Row],[Customer Gender]]="O","Other", "Unknown")))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3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>
        <f>IF(orders[[#This Row],[Customer Gender]]="M","Male",IF( orders[[#This Row],[Customer Gender]]="F","Female",IF( orders[[#This Row],[Customer Gender]]="O","Other", "Unknown")))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3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>
        <f>IF(orders[[#This Row],[Customer Gender]]="M","Male",IF( orders[[#This Row],[Customer Gender]]="F","Female",IF( orders[[#This Row],[Customer Gender]]="O","Other", "Unknown")))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3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>
        <f>IF(orders[[#This Row],[Customer Gender]]="M","Male",IF( orders[[#This Row],[Customer Gender]]="F","Female",IF( orders[[#This Row],[Customer Gender]]="O","Other", "Unknown")))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3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>
        <f>IF(orders[[#This Row],[Customer Gender]]="M","Male",IF( orders[[#This Row],[Customer Gender]]="F","Female",IF( orders[[#This Row],[Customer Gender]]="O","Other", "Unknown")))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3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>
        <f>IF(orders[[#This Row],[Customer Gender]]="M","Male",IF( orders[[#This Row],[Customer Gender]]="F","Female",IF( orders[[#This Row],[Customer Gender]]="O","Other", "Unknown")))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3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>
        <f>IF(orders[[#This Row],[Customer Gender]]="M","Male",IF( orders[[#This Row],[Customer Gender]]="F","Female",IF( orders[[#This Row],[Customer Gender]]="O","Other", "Unknown")))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3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>
        <f>IF(orders[[#This Row],[Customer Gender]]="M","Male",IF( orders[[#This Row],[Customer Gender]]="F","Female",IF( orders[[#This Row],[Customer Gender]]="O","Other", "Unknown")))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3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>
        <f>IF(orders[[#This Row],[Customer Gender]]="M","Male",IF( orders[[#This Row],[Customer Gender]]="F","Female",IF( orders[[#This Row],[Customer Gender]]="O","Other", "Unknown")))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3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>
        <f>IF(orders[[#This Row],[Customer Gender]]="M","Male",IF( orders[[#This Row],[Customer Gender]]="F","Female",IF( orders[[#This Row],[Customer Gender]]="O","Other", "Unknown")))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3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>
        <f>IF(orders[[#This Row],[Customer Gender]]="M","Male",IF( orders[[#This Row],[Customer Gender]]="F","Female",IF( orders[[#This Row],[Customer Gender]]="O","Other", "Unknown")))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3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>
        <f>IF(orders[[#This Row],[Customer Gender]]="M","Male",IF( orders[[#This Row],[Customer Gender]]="F","Female",IF( orders[[#This Row],[Customer Gender]]="O","Other", "Unknown")))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3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>
        <f>IF(orders[[#This Row],[Customer Gender]]="M","Male",IF( orders[[#This Row],[Customer Gender]]="F","Female",IF( orders[[#This Row],[Customer Gender]]="O","Other", "Unknown")))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3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>
        <f>IF(orders[[#This Row],[Customer Gender]]="M","Male",IF( orders[[#This Row],[Customer Gender]]="F","Female",IF( orders[[#This Row],[Customer Gender]]="O","Other", "Unknown")))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3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>
        <f>IF(orders[[#This Row],[Customer Gender]]="M","Male",IF( orders[[#This Row],[Customer Gender]]="F","Female",IF( orders[[#This Row],[Customer Gender]]="O","Other", "Unknown")))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3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>
        <f>IF(orders[[#This Row],[Customer Gender]]="M","Male",IF( orders[[#This Row],[Customer Gender]]="F","Female",IF( orders[[#This Row],[Customer Gender]]="O","Other", "Unknown")))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3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>
        <f>IF(orders[[#This Row],[Customer Gender]]="M","Male",IF( orders[[#This Row],[Customer Gender]]="F","Female",IF( orders[[#This Row],[Customer Gender]]="O","Other", "Unknown")))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3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>
        <f>IF(orders[[#This Row],[Customer Gender]]="M","Male",IF( orders[[#This Row],[Customer Gender]]="F","Female",IF( orders[[#This Row],[Customer Gender]]="O","Other", "Unknown")))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3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>
        <f>IF(orders[[#This Row],[Customer Gender]]="M","Male",IF( orders[[#This Row],[Customer Gender]]="F","Female",IF( orders[[#This Row],[Customer Gender]]="O","Other", "Unknown")))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3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>
        <f>IF(orders[[#This Row],[Customer Gender]]="M","Male",IF( orders[[#This Row],[Customer Gender]]="F","Female",IF( orders[[#This Row],[Customer Gender]]="O","Other", "Unknown")))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3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>
        <f>IF(orders[[#This Row],[Customer Gender]]="M","Male",IF( orders[[#This Row],[Customer Gender]]="F","Female",IF( orders[[#This Row],[Customer Gender]]="O","Other", "Unknown")))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3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>
        <f>IF(orders[[#This Row],[Customer Gender]]="M","Male",IF( orders[[#This Row],[Customer Gender]]="F","Female",IF( orders[[#This Row],[Customer Gender]]="O","Other", "Unknown")))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3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>
        <f>IF(orders[[#This Row],[Customer Gender]]="M","Male",IF( orders[[#This Row],[Customer Gender]]="F","Female",IF( orders[[#This Row],[Customer Gender]]="O","Other", "Unknown")))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3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>
        <f>IF(orders[[#This Row],[Customer Gender]]="M","Male",IF( orders[[#This Row],[Customer Gender]]="F","Female",IF( orders[[#This Row],[Customer Gender]]="O","Other", "Unknown")))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3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>
        <f>IF(orders[[#This Row],[Customer Gender]]="M","Male",IF( orders[[#This Row],[Customer Gender]]="F","Female",IF( orders[[#This Row],[Customer Gender]]="O","Other", "Unknown")))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3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>
        <f>IF(orders[[#This Row],[Customer Gender]]="M","Male",IF( orders[[#This Row],[Customer Gender]]="F","Female",IF( orders[[#This Row],[Customer Gender]]="O","Other", "Unknown")))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3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>
        <f>IF(orders[[#This Row],[Customer Gender]]="M","Male",IF( orders[[#This Row],[Customer Gender]]="F","Female",IF( orders[[#This Row],[Customer Gender]]="O","Other", "Unknown")))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3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>
        <f>IF(orders[[#This Row],[Customer Gender]]="M","Male",IF( orders[[#This Row],[Customer Gender]]="F","Female",IF( orders[[#This Row],[Customer Gender]]="O","Other", "Unknown")))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3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>
        <f>IF(orders[[#This Row],[Customer Gender]]="M","Male",IF( orders[[#This Row],[Customer Gender]]="F","Female",IF( orders[[#This Row],[Customer Gender]]="O","Other", "Unknown")))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3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>
        <f>IF(orders[[#This Row],[Customer Gender]]="M","Male",IF( orders[[#This Row],[Customer Gender]]="F","Female",IF( orders[[#This Row],[Customer Gender]]="O","Other", "Unknown")))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3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>
        <f>IF(orders[[#This Row],[Customer Gender]]="M","Male",IF( orders[[#This Row],[Customer Gender]]="F","Female",IF( orders[[#This Row],[Customer Gender]]="O","Other", "Unknown")))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3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>
        <f>IF(orders[[#This Row],[Customer Gender]]="M","Male",IF( orders[[#This Row],[Customer Gender]]="F","Female",IF( orders[[#This Row],[Customer Gender]]="O","Other", "Unknown")))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3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>
        <f>IF(orders[[#This Row],[Customer Gender]]="M","Male",IF( orders[[#This Row],[Customer Gender]]="F","Female",IF( orders[[#This Row],[Customer Gender]]="O","Other", "Unknown")))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3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>
        <f>IF(orders[[#This Row],[Customer Gender]]="M","Male",IF( orders[[#This Row],[Customer Gender]]="F","Female",IF( orders[[#This Row],[Customer Gender]]="O","Other", "Unknown")))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3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>
        <f>IF(orders[[#This Row],[Customer Gender]]="M","Male",IF( orders[[#This Row],[Customer Gender]]="F","Female",IF( orders[[#This Row],[Customer Gender]]="O","Other", "Unknown")))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3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>
        <f>IF(orders[[#This Row],[Customer Gender]]="M","Male",IF( orders[[#This Row],[Customer Gender]]="F","Female",IF( orders[[#This Row],[Customer Gender]]="O","Other", "Unknown")))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3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>
        <f>IF(orders[[#This Row],[Customer Gender]]="M","Male",IF( orders[[#This Row],[Customer Gender]]="F","Female",IF( orders[[#This Row],[Customer Gender]]="O","Other", "Unknown")))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3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>
        <f>IF(orders[[#This Row],[Customer Gender]]="M","Male",IF( orders[[#This Row],[Customer Gender]]="F","Female",IF( orders[[#This Row],[Customer Gender]]="O","Other", "Unknown")))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3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>
        <f>IF(orders[[#This Row],[Customer Gender]]="M","Male",IF( orders[[#This Row],[Customer Gender]]="F","Female",IF( orders[[#This Row],[Customer Gender]]="O","Other", "Unknown")))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3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>
        <f>IF(orders[[#This Row],[Customer Gender]]="M","Male",IF( orders[[#This Row],[Customer Gender]]="F","Female",IF( orders[[#This Row],[Customer Gender]]="O","Other", "Unknown")))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3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>
        <f>IF(orders[[#This Row],[Customer Gender]]="M","Male",IF( orders[[#This Row],[Customer Gender]]="F","Female",IF( orders[[#This Row],[Customer Gender]]="O","Other", "Unknown")))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3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>
        <f>IF(orders[[#This Row],[Customer Gender]]="M","Male",IF( orders[[#This Row],[Customer Gender]]="F","Female",IF( orders[[#This Row],[Customer Gender]]="O","Other", "Unknown")))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3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>
        <f>IF(orders[[#This Row],[Customer Gender]]="M","Male",IF( orders[[#This Row],[Customer Gender]]="F","Female",IF( orders[[#This Row],[Customer Gender]]="O","Other", "Unknown")))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3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>
        <f>IF(orders[[#This Row],[Customer Gender]]="M","Male",IF( orders[[#This Row],[Customer Gender]]="F","Female",IF( orders[[#This Row],[Customer Gender]]="O","Other", "Unknown")))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3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>
        <f>IF(orders[[#This Row],[Customer Gender]]="M","Male",IF( orders[[#This Row],[Customer Gender]]="F","Female",IF( orders[[#This Row],[Customer Gender]]="O","Other", "Unknown")))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3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>
        <f>IF(orders[[#This Row],[Customer Gender]]="M","Male",IF( orders[[#This Row],[Customer Gender]]="F","Female",IF( orders[[#This Row],[Customer Gender]]="O","Other", "Unknown")))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3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>
        <f>IF(orders[[#This Row],[Customer Gender]]="M","Male",IF( orders[[#This Row],[Customer Gender]]="F","Female",IF( orders[[#This Row],[Customer Gender]]="O","Other", "Unknown")))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3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>
        <f>IF(orders[[#This Row],[Customer Gender]]="M","Male",IF( orders[[#This Row],[Customer Gender]]="F","Female",IF( orders[[#This Row],[Customer Gender]]="O","Other", "Unknown")))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3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>
        <f>IF(orders[[#This Row],[Customer Gender]]="M","Male",IF( orders[[#This Row],[Customer Gender]]="F","Female",IF( orders[[#This Row],[Customer Gender]]="O","Other", "Unknown")))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3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>
        <f>IF(orders[[#This Row],[Customer Gender]]="M","Male",IF( orders[[#This Row],[Customer Gender]]="F","Female",IF( orders[[#This Row],[Customer Gender]]="O","Other", "Unknown")))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3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>
        <f>IF(orders[[#This Row],[Customer Gender]]="M","Male",IF( orders[[#This Row],[Customer Gender]]="F","Female",IF( orders[[#This Row],[Customer Gender]]="O","Other", "Unknown")))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3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>
        <f>IF(orders[[#This Row],[Customer Gender]]="M","Male",IF( orders[[#This Row],[Customer Gender]]="F","Female",IF( orders[[#This Row],[Customer Gender]]="O","Other", "Unknown")))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3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>
        <f>IF(orders[[#This Row],[Customer Gender]]="M","Male",IF( orders[[#This Row],[Customer Gender]]="F","Female",IF( orders[[#This Row],[Customer Gender]]="O","Other", "Unknown")))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3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>
        <f>IF(orders[[#This Row],[Customer Gender]]="M","Male",IF( orders[[#This Row],[Customer Gender]]="F","Female",IF( orders[[#This Row],[Customer Gender]]="O","Other", "Unknown")))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3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>
        <f>IF(orders[[#This Row],[Customer Gender]]="M","Male",IF( orders[[#This Row],[Customer Gender]]="F","Female",IF( orders[[#This Row],[Customer Gender]]="O","Other", "Unknown")))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3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>
        <f>IF(orders[[#This Row],[Customer Gender]]="M","Male",IF( orders[[#This Row],[Customer Gender]]="F","Female",IF( orders[[#This Row],[Customer Gender]]="O","Other", "Unknown")))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3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>
        <f>IF(orders[[#This Row],[Customer Gender]]="M","Male",IF( orders[[#This Row],[Customer Gender]]="F","Female",IF( orders[[#This Row],[Customer Gender]]="O","Other", "Unknown")))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3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>
        <f>IF(orders[[#This Row],[Customer Gender]]="M","Male",IF( orders[[#This Row],[Customer Gender]]="F","Female",IF( orders[[#This Row],[Customer Gender]]="O","Other", "Unknown")))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3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>
        <f>IF(orders[[#This Row],[Customer Gender]]="M","Male",IF( orders[[#This Row],[Customer Gender]]="F","Female",IF( orders[[#This Row],[Customer Gender]]="O","Other", "Unknown")))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3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>
        <f>IF(orders[[#This Row],[Customer Gender]]="M","Male",IF( orders[[#This Row],[Customer Gender]]="F","Female",IF( orders[[#This Row],[Customer Gender]]="O","Other", "Unknown")))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3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>
        <f>IF(orders[[#This Row],[Customer Gender]]="M","Male",IF( orders[[#This Row],[Customer Gender]]="F","Female",IF( orders[[#This Row],[Customer Gender]]="O","Other", "Unknown")))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3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>
        <f>IF(orders[[#This Row],[Customer Gender]]="M","Male",IF( orders[[#This Row],[Customer Gender]]="F","Female",IF( orders[[#This Row],[Customer Gender]]="O","Other", "Unknown")))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3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>
        <f>IF(orders[[#This Row],[Customer Gender]]="M","Male",IF( orders[[#This Row],[Customer Gender]]="F","Female",IF( orders[[#This Row],[Customer Gender]]="O","Other", "Unknown")))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3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>
        <f>IF(orders[[#This Row],[Customer Gender]]="M","Male",IF( orders[[#This Row],[Customer Gender]]="F","Female",IF( orders[[#This Row],[Customer Gender]]="O","Other", "Unknown")))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3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>
        <f>IF(orders[[#This Row],[Customer Gender]]="M","Male",IF( orders[[#This Row],[Customer Gender]]="F","Female",IF( orders[[#This Row],[Customer Gender]]="O","Other", "Unknown")))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3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>
        <f>IF(orders[[#This Row],[Customer Gender]]="M","Male",IF( orders[[#This Row],[Customer Gender]]="F","Female",IF( orders[[#This Row],[Customer Gender]]="O","Other", "Unknown")))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3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>
        <f>IF(orders[[#This Row],[Customer Gender]]="M","Male",IF( orders[[#This Row],[Customer Gender]]="F","Female",IF( orders[[#This Row],[Customer Gender]]="O","Other", "Unknown")))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3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>
        <f>IF(orders[[#This Row],[Customer Gender]]="M","Male",IF( orders[[#This Row],[Customer Gender]]="F","Female",IF( orders[[#This Row],[Customer Gender]]="O","Other", "Unknown")))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3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>
        <f>IF(orders[[#This Row],[Customer Gender]]="M","Male",IF( orders[[#This Row],[Customer Gender]]="F","Female",IF( orders[[#This Row],[Customer Gender]]="O","Other", "Unknown")))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3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>
        <f>IF(orders[[#This Row],[Customer Gender]]="M","Male",IF( orders[[#This Row],[Customer Gender]]="F","Female",IF( orders[[#This Row],[Customer Gender]]="O","Other", "Unknown")))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3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>
        <f>IF(orders[[#This Row],[Customer Gender]]="M","Male",IF( orders[[#This Row],[Customer Gender]]="F","Female",IF( orders[[#This Row],[Customer Gender]]="O","Other", "Unknown")))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3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>
        <f>IF(orders[[#This Row],[Customer Gender]]="M","Male",IF( orders[[#This Row],[Customer Gender]]="F","Female",IF( orders[[#This Row],[Customer Gender]]="O","Other", "Unknown")))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3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>
        <f>IF(orders[[#This Row],[Customer Gender]]="M","Male",IF( orders[[#This Row],[Customer Gender]]="F","Female",IF( orders[[#This Row],[Customer Gender]]="O","Other", "Unknown")))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3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>
        <f>IF(orders[[#This Row],[Customer Gender]]="M","Male",IF( orders[[#This Row],[Customer Gender]]="F","Female",IF( orders[[#This Row],[Customer Gender]]="O","Other", "Unknown")))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3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>
        <f>IF(orders[[#This Row],[Customer Gender]]="M","Male",IF( orders[[#This Row],[Customer Gender]]="F","Female",IF( orders[[#This Row],[Customer Gender]]="O","Other", "Unknown")))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3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>
        <f>IF(orders[[#This Row],[Customer Gender]]="M","Male",IF( orders[[#This Row],[Customer Gender]]="F","Female",IF( orders[[#This Row],[Customer Gender]]="O","Other", "Unknown")))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3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>
        <f>IF(orders[[#This Row],[Customer Gender]]="M","Male",IF( orders[[#This Row],[Customer Gender]]="F","Female",IF( orders[[#This Row],[Customer Gender]]="O","Other", "Unknown")))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3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>
        <f>IF(orders[[#This Row],[Customer Gender]]="M","Male",IF( orders[[#This Row],[Customer Gender]]="F","Female",IF( orders[[#This Row],[Customer Gender]]="O","Other", "Unknown")))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3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>
        <f>IF(orders[[#This Row],[Customer Gender]]="M","Male",IF( orders[[#This Row],[Customer Gender]]="F","Female",IF( orders[[#This Row],[Customer Gender]]="O","Other", "Unknown")))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3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>
        <f>IF(orders[[#This Row],[Customer Gender]]="M","Male",IF( orders[[#This Row],[Customer Gender]]="F","Female",IF( orders[[#This Row],[Customer Gender]]="O","Other", "Unknown")))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3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>
        <f>IF(orders[[#This Row],[Customer Gender]]="M","Male",IF( orders[[#This Row],[Customer Gender]]="F","Female",IF( orders[[#This Row],[Customer Gender]]="O","Other", "Unknown")))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3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>
        <f>IF(orders[[#This Row],[Customer Gender]]="M","Male",IF( orders[[#This Row],[Customer Gender]]="F","Female",IF( orders[[#This Row],[Customer Gender]]="O","Other", "Unknown")))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3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>
        <f>IF(orders[[#This Row],[Customer Gender]]="M","Male",IF( orders[[#This Row],[Customer Gender]]="F","Female",IF( orders[[#This Row],[Customer Gender]]="O","Other", "Unknown")))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3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>
        <f>IF(orders[[#This Row],[Customer Gender]]="M","Male",IF( orders[[#This Row],[Customer Gender]]="F","Female",IF( orders[[#This Row],[Customer Gender]]="O","Other", "Unknown")))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3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>
        <f>IF(orders[[#This Row],[Customer Gender]]="M","Male",IF( orders[[#This Row],[Customer Gender]]="F","Female",IF( orders[[#This Row],[Customer Gender]]="O","Other", "Unknown")))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3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>
        <f>IF(orders[[#This Row],[Customer Gender]]="M","Male",IF( orders[[#This Row],[Customer Gender]]="F","Female",IF( orders[[#This Row],[Customer Gender]]="O","Other", "Unknown")))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3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>
        <f>IF(orders[[#This Row],[Customer Gender]]="M","Male",IF( orders[[#This Row],[Customer Gender]]="F","Female",IF( orders[[#This Row],[Customer Gender]]="O","Other", "Unknown")))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3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>
        <f>IF(orders[[#This Row],[Customer Gender]]="M","Male",IF( orders[[#This Row],[Customer Gender]]="F","Female",IF( orders[[#This Row],[Customer Gender]]="O","Other", "Unknown")))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3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>
        <f>IF(orders[[#This Row],[Customer Gender]]="M","Male",IF( orders[[#This Row],[Customer Gender]]="F","Female",IF( orders[[#This Row],[Customer Gender]]="O","Other", "Unknown")))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3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>
        <f>IF(orders[[#This Row],[Customer Gender]]="M","Male",IF( orders[[#This Row],[Customer Gender]]="F","Female",IF( orders[[#This Row],[Customer Gender]]="O","Other", "Unknown")))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3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>
        <f>IF(orders[[#This Row],[Customer Gender]]="M","Male",IF( orders[[#This Row],[Customer Gender]]="F","Female",IF( orders[[#This Row],[Customer Gender]]="O","Other", "Unknown")))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3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>
        <f>IF(orders[[#This Row],[Customer Gender]]="M","Male",IF( orders[[#This Row],[Customer Gender]]="F","Female",IF( orders[[#This Row],[Customer Gender]]="O","Other", "Unknown")))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3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>
        <f>IF(orders[[#This Row],[Customer Gender]]="M","Male",IF( orders[[#This Row],[Customer Gender]]="F","Female",IF( orders[[#This Row],[Customer Gender]]="O","Other", "Unknown")))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3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>
        <f>IF(orders[[#This Row],[Customer Gender]]="M","Male",IF( orders[[#This Row],[Customer Gender]]="F","Female",IF( orders[[#This Row],[Customer Gender]]="O","Other", "Unknown")))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3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>
        <f>IF(orders[[#This Row],[Customer Gender]]="M","Male",IF( orders[[#This Row],[Customer Gender]]="F","Female",IF( orders[[#This Row],[Customer Gender]]="O","Other", "Unknown")))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3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>
        <f>IF(orders[[#This Row],[Customer Gender]]="M","Male",IF( orders[[#This Row],[Customer Gender]]="F","Female",IF( orders[[#This Row],[Customer Gender]]="O","Other", "Unknown")))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3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>
        <f>IF(orders[[#This Row],[Customer Gender]]="M","Male",IF( orders[[#This Row],[Customer Gender]]="F","Female",IF( orders[[#This Row],[Customer Gender]]="O","Other", "Unknown")))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3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>
        <f>IF(orders[[#This Row],[Customer Gender]]="M","Male",IF( orders[[#This Row],[Customer Gender]]="F","Female",IF( orders[[#This Row],[Customer Gender]]="O","Other", "Unknown")))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3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>
        <f>IF(orders[[#This Row],[Customer Gender]]="M","Male",IF( orders[[#This Row],[Customer Gender]]="F","Female",IF( orders[[#This Row],[Customer Gender]]="O","Other", "Unknown")))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3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>
        <f>IF(orders[[#This Row],[Customer Gender]]="M","Male",IF( orders[[#This Row],[Customer Gender]]="F","Female",IF( orders[[#This Row],[Customer Gender]]="O","Other", "Unknown")))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3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>
        <f>IF(orders[[#This Row],[Customer Gender]]="M","Male",IF( orders[[#This Row],[Customer Gender]]="F","Female",IF( orders[[#This Row],[Customer Gender]]="O","Other", "Unknown")))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3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>
        <f>IF(orders[[#This Row],[Customer Gender]]="M","Male",IF( orders[[#This Row],[Customer Gender]]="F","Female",IF( orders[[#This Row],[Customer Gender]]="O","Other", "Unknown")))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3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>
        <f>IF(orders[[#This Row],[Customer Gender]]="M","Male",IF( orders[[#This Row],[Customer Gender]]="F","Female",IF( orders[[#This Row],[Customer Gender]]="O","Other", "Unknown")))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3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>
        <f>IF(orders[[#This Row],[Customer Gender]]="M","Male",IF( orders[[#This Row],[Customer Gender]]="F","Female",IF( orders[[#This Row],[Customer Gender]]="O","Other", "Unknown")))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3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>
        <f>IF(orders[[#This Row],[Customer Gender]]="M","Male",IF( orders[[#This Row],[Customer Gender]]="F","Female",IF( orders[[#This Row],[Customer Gender]]="O","Other", "Unknown")))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3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>
        <f>IF(orders[[#This Row],[Customer Gender]]="M","Male",IF( orders[[#This Row],[Customer Gender]]="F","Female",IF( orders[[#This Row],[Customer Gender]]="O","Other", "Unknown")))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3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>
        <f>IF(orders[[#This Row],[Customer Gender]]="M","Male",IF( orders[[#This Row],[Customer Gender]]="F","Female",IF( orders[[#This Row],[Customer Gender]]="O","Other", "Unknown")))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3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>
        <f>IF(orders[[#This Row],[Customer Gender]]="M","Male",IF( orders[[#This Row],[Customer Gender]]="F","Female",IF( orders[[#This Row],[Customer Gender]]="O","Other", "Unknown")))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3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>
        <f>IF(orders[[#This Row],[Customer Gender]]="M","Male",IF( orders[[#This Row],[Customer Gender]]="F","Female",IF( orders[[#This Row],[Customer Gender]]="O","Other", "Unknown")))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3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>
        <f>IF(orders[[#This Row],[Customer Gender]]="M","Male",IF( orders[[#This Row],[Customer Gender]]="F","Female",IF( orders[[#This Row],[Customer Gender]]="O","Other", "Unknown")))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3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>
        <f>IF(orders[[#This Row],[Customer Gender]]="M","Male",IF( orders[[#This Row],[Customer Gender]]="F","Female",IF( orders[[#This Row],[Customer Gender]]="O","Other", "Unknown")))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3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>
        <f>IF(orders[[#This Row],[Customer Gender]]="M","Male",IF( orders[[#This Row],[Customer Gender]]="F","Female",IF( orders[[#This Row],[Customer Gender]]="O","Other", "Unknown")))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3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>
        <f>IF(orders[[#This Row],[Customer Gender]]="M","Male",IF( orders[[#This Row],[Customer Gender]]="F","Female",IF( orders[[#This Row],[Customer Gender]]="O","Other", "Unknown")))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3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>
        <f>IF(orders[[#This Row],[Customer Gender]]="M","Male",IF( orders[[#This Row],[Customer Gender]]="F","Female",IF( orders[[#This Row],[Customer Gender]]="O","Other", "Unknown")))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3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>
        <f>IF(orders[[#This Row],[Customer Gender]]="M","Male",IF( orders[[#This Row],[Customer Gender]]="F","Female",IF( orders[[#This Row],[Customer Gender]]="O","Other", "Unknown")))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3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>
        <f>IF(orders[[#This Row],[Customer Gender]]="M","Male",IF( orders[[#This Row],[Customer Gender]]="F","Female",IF( orders[[#This Row],[Customer Gender]]="O","Other", "Unknown")))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3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>
        <f>IF(orders[[#This Row],[Customer Gender]]="M","Male",IF( orders[[#This Row],[Customer Gender]]="F","Female",IF( orders[[#This Row],[Customer Gender]]="O","Other", "Unknown")))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3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>
        <f>IF(orders[[#This Row],[Customer Gender]]="M","Male",IF( orders[[#This Row],[Customer Gender]]="F","Female",IF( orders[[#This Row],[Customer Gender]]="O","Other", "Unknown")))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3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>
        <f>IF(orders[[#This Row],[Customer Gender]]="M","Male",IF( orders[[#This Row],[Customer Gender]]="F","Female",IF( orders[[#This Row],[Customer Gender]]="O","Other", "Unknown")))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3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>
        <f>IF(orders[[#This Row],[Customer Gender]]="M","Male",IF( orders[[#This Row],[Customer Gender]]="F","Female",IF( orders[[#This Row],[Customer Gender]]="O","Other", "Unknown")))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3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>
        <f>IF(orders[[#This Row],[Customer Gender]]="M","Male",IF( orders[[#This Row],[Customer Gender]]="F","Female",IF( orders[[#This Row],[Customer Gender]]="O","Other", "Unknown")))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3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>
        <f>IF(orders[[#This Row],[Customer Gender]]="M","Male",IF( orders[[#This Row],[Customer Gender]]="F","Female",IF( orders[[#This Row],[Customer Gender]]="O","Other", "Unknown")))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3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>
        <f>IF(orders[[#This Row],[Customer Gender]]="M","Male",IF( orders[[#This Row],[Customer Gender]]="F","Female",IF( orders[[#This Row],[Customer Gender]]="O","Other", "Unknown")))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3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>
        <f>IF(orders[[#This Row],[Customer Gender]]="M","Male",IF( orders[[#This Row],[Customer Gender]]="F","Female",IF( orders[[#This Row],[Customer Gender]]="O","Other", "Unknown")))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3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>
        <f>IF(orders[[#This Row],[Customer Gender]]="M","Male",IF( orders[[#This Row],[Customer Gender]]="F","Female",IF( orders[[#This Row],[Customer Gender]]="O","Other", "Unknown")))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3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>
        <f>IF(orders[[#This Row],[Customer Gender]]="M","Male",IF( orders[[#This Row],[Customer Gender]]="F","Female",IF( orders[[#This Row],[Customer Gender]]="O","Other", "Unknown")))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3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>
        <f>IF(orders[[#This Row],[Customer Gender]]="M","Male",IF( orders[[#This Row],[Customer Gender]]="F","Female",IF( orders[[#This Row],[Customer Gender]]="O","Other", "Unknown")))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3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>
        <f>IF(orders[[#This Row],[Customer Gender]]="M","Male",IF( orders[[#This Row],[Customer Gender]]="F","Female",IF( orders[[#This Row],[Customer Gender]]="O","Other", "Unknown")))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3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>
        <f>IF(orders[[#This Row],[Customer Gender]]="M","Male",IF( orders[[#This Row],[Customer Gender]]="F","Female",IF( orders[[#This Row],[Customer Gender]]="O","Other", "Unknown")))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3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>
        <f>IF(orders[[#This Row],[Customer Gender]]="M","Male",IF( orders[[#This Row],[Customer Gender]]="F","Female",IF( orders[[#This Row],[Customer Gender]]="O","Other", "Unknown")))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3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>
        <f>IF(orders[[#This Row],[Customer Gender]]="M","Male",IF( orders[[#This Row],[Customer Gender]]="F","Female",IF( orders[[#This Row],[Customer Gender]]="O","Other", "Unknown")))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3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>
        <f>IF(orders[[#This Row],[Customer Gender]]="M","Male",IF( orders[[#This Row],[Customer Gender]]="F","Female",IF( orders[[#This Row],[Customer Gender]]="O","Other", "Unknown")))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3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>
        <f>IF(orders[[#This Row],[Customer Gender]]="M","Male",IF( orders[[#This Row],[Customer Gender]]="F","Female",IF( orders[[#This Row],[Customer Gender]]="O","Other", "Unknown")))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3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>
        <f>IF(orders[[#This Row],[Customer Gender]]="M","Male",IF( orders[[#This Row],[Customer Gender]]="F","Female",IF( orders[[#This Row],[Customer Gender]]="O","Other", "Unknown")))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3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>
        <f>IF(orders[[#This Row],[Customer Gender]]="M","Male",IF( orders[[#This Row],[Customer Gender]]="F","Female",IF( orders[[#This Row],[Customer Gender]]="O","Other", "Unknown")))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3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>
        <f>IF(orders[[#This Row],[Customer Gender]]="M","Male",IF( orders[[#This Row],[Customer Gender]]="F","Female",IF( orders[[#This Row],[Customer Gender]]="O","Other", "Unknown")))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3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>
        <f>IF(orders[[#This Row],[Customer Gender]]="M","Male",IF( orders[[#This Row],[Customer Gender]]="F","Female",IF( orders[[#This Row],[Customer Gender]]="O","Other", "Unknown")))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3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>
        <f>IF(orders[[#This Row],[Customer Gender]]="M","Male",IF( orders[[#This Row],[Customer Gender]]="F","Female",IF( orders[[#This Row],[Customer Gender]]="O","Other", "Unknown")))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3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>
        <f>IF(orders[[#This Row],[Customer Gender]]="M","Male",IF( orders[[#This Row],[Customer Gender]]="F","Female",IF( orders[[#This Row],[Customer Gender]]="O","Other", "Unknown")))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3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>
        <f>IF(orders[[#This Row],[Customer Gender]]="M","Male",IF( orders[[#This Row],[Customer Gender]]="F","Female",IF( orders[[#This Row],[Customer Gender]]="O","Other", "Unknown")))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3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>
        <f>IF(orders[[#This Row],[Customer Gender]]="M","Male",IF( orders[[#This Row],[Customer Gender]]="F","Female",IF( orders[[#This Row],[Customer Gender]]="O","Other", "Unknown")))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3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>
        <f>IF(orders[[#This Row],[Customer Gender]]="M","Male",IF( orders[[#This Row],[Customer Gender]]="F","Female",IF( orders[[#This Row],[Customer Gender]]="O","Other", "Unknown")))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3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>
        <f>IF(orders[[#This Row],[Customer Gender]]="M","Male",IF( orders[[#This Row],[Customer Gender]]="F","Female",IF( orders[[#This Row],[Customer Gender]]="O","Other", "Unknown")))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3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>
        <f>IF(orders[[#This Row],[Customer Gender]]="M","Male",IF( orders[[#This Row],[Customer Gender]]="F","Female",IF( orders[[#This Row],[Customer Gender]]="O","Other", "Unknown")))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3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>
        <f>IF(orders[[#This Row],[Customer Gender]]="M","Male",IF( orders[[#This Row],[Customer Gender]]="F","Female",IF( orders[[#This Row],[Customer Gender]]="O","Other", "Unknown")))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3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>
        <f>IF(orders[[#This Row],[Customer Gender]]="M","Male",IF( orders[[#This Row],[Customer Gender]]="F","Female",IF( orders[[#This Row],[Customer Gender]]="O","Other", "Unknown")))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3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>
        <f>IF(orders[[#This Row],[Customer Gender]]="M","Male",IF( orders[[#This Row],[Customer Gender]]="F","Female",IF( orders[[#This Row],[Customer Gender]]="O","Other", "Unknown")))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3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>
        <f>IF(orders[[#This Row],[Customer Gender]]="M","Male",IF( orders[[#This Row],[Customer Gender]]="F","Female",IF( orders[[#This Row],[Customer Gender]]="O","Other", "Unknown")))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3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>
        <f>IF(orders[[#This Row],[Customer Gender]]="M","Male",IF( orders[[#This Row],[Customer Gender]]="F","Female",IF( orders[[#This Row],[Customer Gender]]="O","Other", "Unknown")))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3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>
        <f>IF(orders[[#This Row],[Customer Gender]]="M","Male",IF( orders[[#This Row],[Customer Gender]]="F","Female",IF( orders[[#This Row],[Customer Gender]]="O","Other", "Unknown")))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3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>
        <f>IF(orders[[#This Row],[Customer Gender]]="M","Male",IF( orders[[#This Row],[Customer Gender]]="F","Female",IF( orders[[#This Row],[Customer Gender]]="O","Other", "Unknown")))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3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>
        <f>IF(orders[[#This Row],[Customer Gender]]="M","Male",IF( orders[[#This Row],[Customer Gender]]="F","Female",IF( orders[[#This Row],[Customer Gender]]="O","Other", "Unknown")))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3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>
        <f>IF(orders[[#This Row],[Customer Gender]]="M","Male",IF( orders[[#This Row],[Customer Gender]]="F","Female",IF( orders[[#This Row],[Customer Gender]]="O","Other", "Unknown")))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3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>
        <f>IF(orders[[#This Row],[Customer Gender]]="M","Male",IF( orders[[#This Row],[Customer Gender]]="F","Female",IF( orders[[#This Row],[Customer Gender]]="O","Other", "Unknown")))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3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>
        <f>IF(orders[[#This Row],[Customer Gender]]="M","Male",IF( orders[[#This Row],[Customer Gender]]="F","Female",IF( orders[[#This Row],[Customer Gender]]="O","Other", "Unknown")))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3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>
        <f>IF(orders[[#This Row],[Customer Gender]]="M","Male",IF( orders[[#This Row],[Customer Gender]]="F","Female",IF( orders[[#This Row],[Customer Gender]]="O","Other", "Unknown")))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3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>
        <f>IF(orders[[#This Row],[Customer Gender]]="M","Male",IF( orders[[#This Row],[Customer Gender]]="F","Female",IF( orders[[#This Row],[Customer Gender]]="O","Other", "Unknown")))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3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>
        <f>IF(orders[[#This Row],[Customer Gender]]="M","Male",IF( orders[[#This Row],[Customer Gender]]="F","Female",IF( orders[[#This Row],[Customer Gender]]="O","Other", "Unknown")))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3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>
        <f>IF(orders[[#This Row],[Customer Gender]]="M","Male",IF( orders[[#This Row],[Customer Gender]]="F","Female",IF( orders[[#This Row],[Customer Gender]]="O","Other", "Unknown")))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3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>
        <f>IF(orders[[#This Row],[Customer Gender]]="M","Male",IF( orders[[#This Row],[Customer Gender]]="F","Female",IF( orders[[#This Row],[Customer Gender]]="O","Other", "Unknown")))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3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>
        <f>IF(orders[[#This Row],[Customer Gender]]="M","Male",IF( orders[[#This Row],[Customer Gender]]="F","Female",IF( orders[[#This Row],[Customer Gender]]="O","Other", "Unknown")))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3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>
        <f>IF(orders[[#This Row],[Customer Gender]]="M","Male",IF( orders[[#This Row],[Customer Gender]]="F","Female",IF( orders[[#This Row],[Customer Gender]]="O","Other", "Unknown")))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3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>
        <f>IF(orders[[#This Row],[Customer Gender]]="M","Male",IF( orders[[#This Row],[Customer Gender]]="F","Female",IF( orders[[#This Row],[Customer Gender]]="O","Other", "Unknown")))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3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>
        <f>IF(orders[[#This Row],[Customer Gender]]="M","Male",IF( orders[[#This Row],[Customer Gender]]="F","Female",IF( orders[[#This Row],[Customer Gender]]="O","Other", "Unknown")))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3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>
        <f>IF(orders[[#This Row],[Customer Gender]]="M","Male",IF( orders[[#This Row],[Customer Gender]]="F","Female",IF( orders[[#This Row],[Customer Gender]]="O","Other", "Unknown")))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3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>
        <f>IF(orders[[#This Row],[Customer Gender]]="M","Male",IF( orders[[#This Row],[Customer Gender]]="F","Female",IF( orders[[#This Row],[Customer Gender]]="O","Other", "Unknown")))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3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>
        <f>IF(orders[[#This Row],[Customer Gender]]="M","Male",IF( orders[[#This Row],[Customer Gender]]="F","Female",IF( orders[[#This Row],[Customer Gender]]="O","Other", "Unknown")))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3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>
        <f>IF(orders[[#This Row],[Customer Gender]]="M","Male",IF( orders[[#This Row],[Customer Gender]]="F","Female",IF( orders[[#This Row],[Customer Gender]]="O","Other", "Unknown")))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3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>
        <f>IF(orders[[#This Row],[Customer Gender]]="M","Male",IF( orders[[#This Row],[Customer Gender]]="F","Female",IF( orders[[#This Row],[Customer Gender]]="O","Other", "Unknown")))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3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>
        <f>IF(orders[[#This Row],[Customer Gender]]="M","Male",IF( orders[[#This Row],[Customer Gender]]="F","Female",IF( orders[[#This Row],[Customer Gender]]="O","Other", "Unknown")))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3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>
        <f>IF(orders[[#This Row],[Customer Gender]]="M","Male",IF( orders[[#This Row],[Customer Gender]]="F","Female",IF( orders[[#This Row],[Customer Gender]]="O","Other", "Unknown")))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3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>
        <f>IF(orders[[#This Row],[Customer Gender]]="M","Male",IF( orders[[#This Row],[Customer Gender]]="F","Female",IF( orders[[#This Row],[Customer Gender]]="O","Other", "Unknown")))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3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>
        <f>IF(orders[[#This Row],[Customer Gender]]="M","Male",IF( orders[[#This Row],[Customer Gender]]="F","Female",IF( orders[[#This Row],[Customer Gender]]="O","Other", "Unknown")))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3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>
        <f>IF(orders[[#This Row],[Customer Gender]]="M","Male",IF( orders[[#This Row],[Customer Gender]]="F","Female",IF( orders[[#This Row],[Customer Gender]]="O","Other", "Unknown")))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3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>
        <f>IF(orders[[#This Row],[Customer Gender]]="M","Male",IF( orders[[#This Row],[Customer Gender]]="F","Female",IF( orders[[#This Row],[Customer Gender]]="O","Other", "Unknown")))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3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>
        <f>IF(orders[[#This Row],[Customer Gender]]="M","Male",IF( orders[[#This Row],[Customer Gender]]="F","Female",IF( orders[[#This Row],[Customer Gender]]="O","Other", "Unknown")))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3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>
        <f>IF(orders[[#This Row],[Customer Gender]]="M","Male",IF( orders[[#This Row],[Customer Gender]]="F","Female",IF( orders[[#This Row],[Customer Gender]]="O","Other", "Unknown")))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3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>
        <f>IF(orders[[#This Row],[Customer Gender]]="M","Male",IF( orders[[#This Row],[Customer Gender]]="F","Female",IF( orders[[#This Row],[Customer Gender]]="O","Other", "Unknown")))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3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>
        <f>IF(orders[[#This Row],[Customer Gender]]="M","Male",IF( orders[[#This Row],[Customer Gender]]="F","Female",IF( orders[[#This Row],[Customer Gender]]="O","Other", "Unknown")))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3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>
        <f>IF(orders[[#This Row],[Customer Gender]]="M","Male",IF( orders[[#This Row],[Customer Gender]]="F","Female",IF( orders[[#This Row],[Customer Gender]]="O","Other", "Unknown")))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3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>
        <f>IF(orders[[#This Row],[Customer Gender]]="M","Male",IF( orders[[#This Row],[Customer Gender]]="F","Female",IF( orders[[#This Row],[Customer Gender]]="O","Other", "Unknown")))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3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>
        <f>IF(orders[[#This Row],[Customer Gender]]="M","Male",IF( orders[[#This Row],[Customer Gender]]="F","Female",IF( orders[[#This Row],[Customer Gender]]="O","Other", "Unknown")))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3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>
        <f>IF(orders[[#This Row],[Customer Gender]]="M","Male",IF( orders[[#This Row],[Customer Gender]]="F","Female",IF( orders[[#This Row],[Customer Gender]]="O","Other", "Unknown")))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3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>
        <f>IF(orders[[#This Row],[Customer Gender]]="M","Male",IF( orders[[#This Row],[Customer Gender]]="F","Female",IF( orders[[#This Row],[Customer Gender]]="O","Other", "Unknown")))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3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>
        <f>IF(orders[[#This Row],[Customer Gender]]="M","Male",IF( orders[[#This Row],[Customer Gender]]="F","Female",IF( orders[[#This Row],[Customer Gender]]="O","Other", "Unknown")))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3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>
        <f>IF(orders[[#This Row],[Customer Gender]]="M","Male",IF( orders[[#This Row],[Customer Gender]]="F","Female",IF( orders[[#This Row],[Customer Gender]]="O","Other", "Unknown")))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3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>
        <f>IF(orders[[#This Row],[Customer Gender]]="M","Male",IF( orders[[#This Row],[Customer Gender]]="F","Female",IF( orders[[#This Row],[Customer Gender]]="O","Other", "Unknown")))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3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>
        <f>IF(orders[[#This Row],[Customer Gender]]="M","Male",IF( orders[[#This Row],[Customer Gender]]="F","Female",IF( orders[[#This Row],[Customer Gender]]="O","Other", "Unknown")))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3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>
        <f>IF(orders[[#This Row],[Customer Gender]]="M","Male",IF( orders[[#This Row],[Customer Gender]]="F","Female",IF( orders[[#This Row],[Customer Gender]]="O","Other", "Unknown")))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3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>
        <f>IF(orders[[#This Row],[Customer Gender]]="M","Male",IF( orders[[#This Row],[Customer Gender]]="F","Female",IF( orders[[#This Row],[Customer Gender]]="O","Other", "Unknown")))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3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>
        <f>IF(orders[[#This Row],[Customer Gender]]="M","Male",IF( orders[[#This Row],[Customer Gender]]="F","Female",IF( orders[[#This Row],[Customer Gender]]="O","Other", "Unknown")))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3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>
        <f>IF(orders[[#This Row],[Customer Gender]]="M","Male",IF( orders[[#This Row],[Customer Gender]]="F","Female",IF( orders[[#This Row],[Customer Gender]]="O","Other", "Unknown")))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3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>
        <f>IF(orders[[#This Row],[Customer Gender]]="M","Male",IF( orders[[#This Row],[Customer Gender]]="F","Female",IF( orders[[#This Row],[Customer Gender]]="O","Other", "Unknown")))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3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>
        <f>IF(orders[[#This Row],[Customer Gender]]="M","Male",IF( orders[[#This Row],[Customer Gender]]="F","Female",IF( orders[[#This Row],[Customer Gender]]="O","Other", "Unknown")))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3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>
        <f>IF(orders[[#This Row],[Customer Gender]]="M","Male",IF( orders[[#This Row],[Customer Gender]]="F","Female",IF( orders[[#This Row],[Customer Gender]]="O","Other", "Unknown")))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3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>
        <f>IF(orders[[#This Row],[Customer Gender]]="M","Male",IF( orders[[#This Row],[Customer Gender]]="F","Female",IF( orders[[#This Row],[Customer Gender]]="O","Other", "Unknown")))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3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>
        <f>IF(orders[[#This Row],[Customer Gender]]="M","Male",IF( orders[[#This Row],[Customer Gender]]="F","Female",IF( orders[[#This Row],[Customer Gender]]="O","Other", "Unknown")))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3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>
        <f>IF(orders[[#This Row],[Customer Gender]]="M","Male",IF( orders[[#This Row],[Customer Gender]]="F","Female",IF( orders[[#This Row],[Customer Gender]]="O","Other", "Unknown")))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3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>
        <f>IF(orders[[#This Row],[Customer Gender]]="M","Male",IF( orders[[#This Row],[Customer Gender]]="F","Female",IF( orders[[#This Row],[Customer Gender]]="O","Other", "Unknown")))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3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>
        <f>IF(orders[[#This Row],[Customer Gender]]="M","Male",IF( orders[[#This Row],[Customer Gender]]="F","Female",IF( orders[[#This Row],[Customer Gender]]="O","Other", "Unknown")))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3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>
        <f>IF(orders[[#This Row],[Customer Gender]]="M","Male",IF( orders[[#This Row],[Customer Gender]]="F","Female",IF( orders[[#This Row],[Customer Gender]]="O","Other", "Unknown")))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3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>
        <f>IF(orders[[#This Row],[Customer Gender]]="M","Male",IF( orders[[#This Row],[Customer Gender]]="F","Female",IF( orders[[#This Row],[Customer Gender]]="O","Other", "Unknown")))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3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>
        <f>IF(orders[[#This Row],[Customer Gender]]="M","Male",IF( orders[[#This Row],[Customer Gender]]="F","Female",IF( orders[[#This Row],[Customer Gender]]="O","Other", "Unknown")))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3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>
        <f>IF(orders[[#This Row],[Customer Gender]]="M","Male",IF( orders[[#This Row],[Customer Gender]]="F","Female",IF( orders[[#This Row],[Customer Gender]]="O","Other", "Unknown")))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3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>
        <f>IF(orders[[#This Row],[Customer Gender]]="M","Male",IF( orders[[#This Row],[Customer Gender]]="F","Female",IF( orders[[#This Row],[Customer Gender]]="O","Other", "Unknown")))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3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>
        <f>IF(orders[[#This Row],[Customer Gender]]="M","Male",IF( orders[[#This Row],[Customer Gender]]="F","Female",IF( orders[[#This Row],[Customer Gender]]="O","Other", "Unknown")))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3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>
        <f>IF(orders[[#This Row],[Customer Gender]]="M","Male",IF( orders[[#This Row],[Customer Gender]]="F","Female",IF( orders[[#This Row],[Customer Gender]]="O","Other", "Unknown")))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3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>
        <f>IF(orders[[#This Row],[Customer Gender]]="M","Male",IF( orders[[#This Row],[Customer Gender]]="F","Female",IF( orders[[#This Row],[Customer Gender]]="O","Other", "Unknown")))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3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>
        <f>IF(orders[[#This Row],[Customer Gender]]="M","Male",IF( orders[[#This Row],[Customer Gender]]="F","Female",IF( orders[[#This Row],[Customer Gender]]="O","Other", "Unknown")))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3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>
        <f>IF(orders[[#This Row],[Customer Gender]]="M","Male",IF( orders[[#This Row],[Customer Gender]]="F","Female",IF( orders[[#This Row],[Customer Gender]]="O","Other", "Unknown")))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3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>
        <f>IF(orders[[#This Row],[Customer Gender]]="M","Male",IF( orders[[#This Row],[Customer Gender]]="F","Female",IF( orders[[#This Row],[Customer Gender]]="O","Other", "Unknown")))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3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>
        <f>IF(orders[[#This Row],[Customer Gender]]="M","Male",IF( orders[[#This Row],[Customer Gender]]="F","Female",IF( orders[[#This Row],[Customer Gender]]="O","Other", "Unknown")))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3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>
        <f>IF(orders[[#This Row],[Customer Gender]]="M","Male",IF( orders[[#This Row],[Customer Gender]]="F","Female",IF( orders[[#This Row],[Customer Gender]]="O","Other", "Unknown")))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3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>
        <f>IF(orders[[#This Row],[Customer Gender]]="M","Male",IF( orders[[#This Row],[Customer Gender]]="F","Female",IF( orders[[#This Row],[Customer Gender]]="O","Other", "Unknown")))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3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>
        <f>IF(orders[[#This Row],[Customer Gender]]="M","Male",IF( orders[[#This Row],[Customer Gender]]="F","Female",IF( orders[[#This Row],[Customer Gender]]="O","Other", "Unknown")))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3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>
        <f>IF(orders[[#This Row],[Customer Gender]]="M","Male",IF( orders[[#This Row],[Customer Gender]]="F","Female",IF( orders[[#This Row],[Customer Gender]]="O","Other", "Unknown")))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3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>
        <f>IF(orders[[#This Row],[Customer Gender]]="M","Male",IF( orders[[#This Row],[Customer Gender]]="F","Female",IF( orders[[#This Row],[Customer Gender]]="O","Other", "Unknown")))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3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>
        <f>IF(orders[[#This Row],[Customer Gender]]="M","Male",IF( orders[[#This Row],[Customer Gender]]="F","Female",IF( orders[[#This Row],[Customer Gender]]="O","Other", "Unknown")))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3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>
        <f>IF(orders[[#This Row],[Customer Gender]]="M","Male",IF( orders[[#This Row],[Customer Gender]]="F","Female",IF( orders[[#This Row],[Customer Gender]]="O","Other", "Unknown")))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3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>
        <f>IF(orders[[#This Row],[Customer Gender]]="M","Male",IF( orders[[#This Row],[Customer Gender]]="F","Female",IF( orders[[#This Row],[Customer Gender]]="O","Other", "Unknown")))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3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>
        <f>IF(orders[[#This Row],[Customer Gender]]="M","Male",IF( orders[[#This Row],[Customer Gender]]="F","Female",IF( orders[[#This Row],[Customer Gender]]="O","Other", "Unknown")))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3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>
        <f>IF(orders[[#This Row],[Customer Gender]]="M","Male",IF( orders[[#This Row],[Customer Gender]]="F","Female",IF( orders[[#This Row],[Customer Gender]]="O","Other", "Unknown")))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3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>
        <f>IF(orders[[#This Row],[Customer Gender]]="M","Male",IF( orders[[#This Row],[Customer Gender]]="F","Female",IF( orders[[#This Row],[Customer Gender]]="O","Other", "Unknown")))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3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>
        <f>IF(orders[[#This Row],[Customer Gender]]="M","Male",IF( orders[[#This Row],[Customer Gender]]="F","Female",IF( orders[[#This Row],[Customer Gender]]="O","Other", "Unknown")))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3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>
        <f>IF(orders[[#This Row],[Customer Gender]]="M","Male",IF( orders[[#This Row],[Customer Gender]]="F","Female",IF( orders[[#This Row],[Customer Gender]]="O","Other", "Unknown")))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3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>
        <f>IF(orders[[#This Row],[Customer Gender]]="M","Male",IF( orders[[#This Row],[Customer Gender]]="F","Female",IF( orders[[#This Row],[Customer Gender]]="O","Other", "Unknown")))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3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>
        <f>IF(orders[[#This Row],[Customer Gender]]="M","Male",IF( orders[[#This Row],[Customer Gender]]="F","Female",IF( orders[[#This Row],[Customer Gender]]="O","Other", "Unknown")))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3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>
        <f>IF(orders[[#This Row],[Customer Gender]]="M","Male",IF( orders[[#This Row],[Customer Gender]]="F","Female",IF( orders[[#This Row],[Customer Gender]]="O","Other", "Unknown")))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3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>
        <f>IF(orders[[#This Row],[Customer Gender]]="M","Male",IF( orders[[#This Row],[Customer Gender]]="F","Female",IF( orders[[#This Row],[Customer Gender]]="O","Other", "Unknown")))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3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>
        <f>IF(orders[[#This Row],[Customer Gender]]="M","Male",IF( orders[[#This Row],[Customer Gender]]="F","Female",IF( orders[[#This Row],[Customer Gender]]="O","Other", "Unknown")))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3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>
        <f>IF(orders[[#This Row],[Customer Gender]]="M","Male",IF( orders[[#This Row],[Customer Gender]]="F","Female",IF( orders[[#This Row],[Customer Gender]]="O","Other", "Unknown")))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3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>
        <f>IF(orders[[#This Row],[Customer Gender]]="M","Male",IF( orders[[#This Row],[Customer Gender]]="F","Female",IF( orders[[#This Row],[Customer Gender]]="O","Other", "Unknown")))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3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>
        <f>IF(orders[[#This Row],[Customer Gender]]="M","Male",IF( orders[[#This Row],[Customer Gender]]="F","Female",IF( orders[[#This Row],[Customer Gender]]="O","Other", "Unknown")))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3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>
        <f>IF(orders[[#This Row],[Customer Gender]]="M","Male",IF( orders[[#This Row],[Customer Gender]]="F","Female",IF( orders[[#This Row],[Customer Gender]]="O","Other", "Unknown")))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3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>
        <f>IF(orders[[#This Row],[Customer Gender]]="M","Male",IF( orders[[#This Row],[Customer Gender]]="F","Female",IF( orders[[#This Row],[Customer Gender]]="O","Other", "Unknown")))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3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>
        <f>IF(orders[[#This Row],[Customer Gender]]="M","Male",IF( orders[[#This Row],[Customer Gender]]="F","Female",IF( orders[[#This Row],[Customer Gender]]="O","Other", "Unknown")))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3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>
        <f>IF(orders[[#This Row],[Customer Gender]]="M","Male",IF( orders[[#This Row],[Customer Gender]]="F","Female",IF( orders[[#This Row],[Customer Gender]]="O","Other", "Unknown")))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3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>
        <f>IF(orders[[#This Row],[Customer Gender]]="M","Male",IF( orders[[#This Row],[Customer Gender]]="F","Female",IF( orders[[#This Row],[Customer Gender]]="O","Other", "Unknown")))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3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>
        <f>IF(orders[[#This Row],[Customer Gender]]="M","Male",IF( orders[[#This Row],[Customer Gender]]="F","Female",IF( orders[[#This Row],[Customer Gender]]="O","Other", "Unknown")))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3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>
        <f>IF(orders[[#This Row],[Customer Gender]]="M","Male",IF( orders[[#This Row],[Customer Gender]]="F","Female",IF( orders[[#This Row],[Customer Gender]]="O","Other", "Unknown")))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3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>
        <f>IF(orders[[#This Row],[Customer Gender]]="M","Male",IF( orders[[#This Row],[Customer Gender]]="F","Female",IF( orders[[#This Row],[Customer Gender]]="O","Other", "Unknown")))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3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>
        <f>IF(orders[[#This Row],[Customer Gender]]="M","Male",IF( orders[[#This Row],[Customer Gender]]="F","Female",IF( orders[[#This Row],[Customer Gender]]="O","Other", "Unknown")))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3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>
        <f>IF(orders[[#This Row],[Customer Gender]]="M","Male",IF( orders[[#This Row],[Customer Gender]]="F","Female",IF( orders[[#This Row],[Customer Gender]]="O","Other", "Unknown")))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3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>
        <f>IF(orders[[#This Row],[Customer Gender]]="M","Male",IF( orders[[#This Row],[Customer Gender]]="F","Female",IF( orders[[#This Row],[Customer Gender]]="O","Other", "Unknown")))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3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>
        <f>IF(orders[[#This Row],[Customer Gender]]="M","Male",IF( orders[[#This Row],[Customer Gender]]="F","Female",IF( orders[[#This Row],[Customer Gender]]="O","Other", "Unknown")))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3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>
        <f>IF(orders[[#This Row],[Customer Gender]]="M","Male",IF( orders[[#This Row],[Customer Gender]]="F","Female",IF( orders[[#This Row],[Customer Gender]]="O","Other", "Unknown")))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3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>
        <f>IF(orders[[#This Row],[Customer Gender]]="M","Male",IF( orders[[#This Row],[Customer Gender]]="F","Female",IF( orders[[#This Row],[Customer Gender]]="O","Other", "Unknown")))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3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>
        <f>IF(orders[[#This Row],[Customer Gender]]="M","Male",IF( orders[[#This Row],[Customer Gender]]="F","Female",IF( orders[[#This Row],[Customer Gender]]="O","Other", "Unknown")))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3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>
        <f>IF(orders[[#This Row],[Customer Gender]]="M","Male",IF( orders[[#This Row],[Customer Gender]]="F","Female",IF( orders[[#This Row],[Customer Gender]]="O","Other", "Unknown")))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3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>
        <f>IF(orders[[#This Row],[Customer Gender]]="M","Male",IF( orders[[#This Row],[Customer Gender]]="F","Female",IF( orders[[#This Row],[Customer Gender]]="O","Other", "Unknown")))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3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>
        <f>IF(orders[[#This Row],[Customer Gender]]="M","Male",IF( orders[[#This Row],[Customer Gender]]="F","Female",IF( orders[[#This Row],[Customer Gender]]="O","Other", "Unknown")))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3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>
        <f>IF(orders[[#This Row],[Customer Gender]]="M","Male",IF( orders[[#This Row],[Customer Gender]]="F","Female",IF( orders[[#This Row],[Customer Gender]]="O","Other", "Unknown")))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3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>
        <f>IF(orders[[#This Row],[Customer Gender]]="M","Male",IF( orders[[#This Row],[Customer Gender]]="F","Female",IF( orders[[#This Row],[Customer Gender]]="O","Other", "Unknown")))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3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>
        <f>IF(orders[[#This Row],[Customer Gender]]="M","Male",IF( orders[[#This Row],[Customer Gender]]="F","Female",IF( orders[[#This Row],[Customer Gender]]="O","Other", "Unknown")))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3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>
        <f>IF(orders[[#This Row],[Customer Gender]]="M","Male",IF( orders[[#This Row],[Customer Gender]]="F","Female",IF( orders[[#This Row],[Customer Gender]]="O","Other", "Unknown")))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3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>
        <f>IF(orders[[#This Row],[Customer Gender]]="M","Male",IF( orders[[#This Row],[Customer Gender]]="F","Female",IF( orders[[#This Row],[Customer Gender]]="O","Other", "Unknown")))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3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>
        <f>IF(orders[[#This Row],[Customer Gender]]="M","Male",IF( orders[[#This Row],[Customer Gender]]="F","Female",IF( orders[[#This Row],[Customer Gender]]="O","Other", "Unknown")))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3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>
        <f>IF(orders[[#This Row],[Customer Gender]]="M","Male",IF( orders[[#This Row],[Customer Gender]]="F","Female",IF( orders[[#This Row],[Customer Gender]]="O","Other", "Unknown")))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3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>
        <f>IF(orders[[#This Row],[Customer Gender]]="M","Male",IF( orders[[#This Row],[Customer Gender]]="F","Female",IF( orders[[#This Row],[Customer Gender]]="O","Other", "Unknown")))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3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>
        <f>IF(orders[[#This Row],[Customer Gender]]="M","Male",IF( orders[[#This Row],[Customer Gender]]="F","Female",IF( orders[[#This Row],[Customer Gender]]="O","Other", "Unknown")))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3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>
        <f>IF(orders[[#This Row],[Customer Gender]]="M","Male",IF( orders[[#This Row],[Customer Gender]]="F","Female",IF( orders[[#This Row],[Customer Gender]]="O","Other", "Unknown")))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3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>
        <f>IF(orders[[#This Row],[Customer Gender]]="M","Male",IF( orders[[#This Row],[Customer Gender]]="F","Female",IF( orders[[#This Row],[Customer Gender]]="O","Other", "Unknown")))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3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>
        <f>IF(orders[[#This Row],[Customer Gender]]="M","Male",IF( orders[[#This Row],[Customer Gender]]="F","Female",IF( orders[[#This Row],[Customer Gender]]="O","Other", "Unknown")))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3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>
        <f>IF(orders[[#This Row],[Customer Gender]]="M","Male",IF( orders[[#This Row],[Customer Gender]]="F","Female",IF( orders[[#This Row],[Customer Gender]]="O","Other", "Unknown")))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3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>
        <f>IF(orders[[#This Row],[Customer Gender]]="M","Male",IF( orders[[#This Row],[Customer Gender]]="F","Female",IF( orders[[#This Row],[Customer Gender]]="O","Other", "Unknown")))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3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>
        <f>IF(orders[[#This Row],[Customer Gender]]="M","Male",IF( orders[[#This Row],[Customer Gender]]="F","Female",IF( orders[[#This Row],[Customer Gender]]="O","Other", "Unknown")))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3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>
        <f>IF(orders[[#This Row],[Customer Gender]]="M","Male",IF( orders[[#This Row],[Customer Gender]]="F","Female",IF( orders[[#This Row],[Customer Gender]]="O","Other", "Unknown")))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3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>
        <f>IF(orders[[#This Row],[Customer Gender]]="M","Male",IF( orders[[#This Row],[Customer Gender]]="F","Female",IF( orders[[#This Row],[Customer Gender]]="O","Other", "Unknown")))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3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>
        <f>IF(orders[[#This Row],[Customer Gender]]="M","Male",IF( orders[[#This Row],[Customer Gender]]="F","Female",IF( orders[[#This Row],[Customer Gender]]="O","Other", "Unknown")))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3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>
        <f>IF(orders[[#This Row],[Customer Gender]]="M","Male",IF( orders[[#This Row],[Customer Gender]]="F","Female",IF( orders[[#This Row],[Customer Gender]]="O","Other", "Unknown")))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3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>
        <f>IF(orders[[#This Row],[Customer Gender]]="M","Male",IF( orders[[#This Row],[Customer Gender]]="F","Female",IF( orders[[#This Row],[Customer Gender]]="O","Other", "Unknown")))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3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>
        <f>IF(orders[[#This Row],[Customer Gender]]="M","Male",IF( orders[[#This Row],[Customer Gender]]="F","Female",IF( orders[[#This Row],[Customer Gender]]="O","Other", "Unknown")))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3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>
        <f>IF(orders[[#This Row],[Customer Gender]]="M","Male",IF( orders[[#This Row],[Customer Gender]]="F","Female",IF( orders[[#This Row],[Customer Gender]]="O","Other", "Unknown")))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3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>
        <f>IF(orders[[#This Row],[Customer Gender]]="M","Male",IF( orders[[#This Row],[Customer Gender]]="F","Female",IF( orders[[#This Row],[Customer Gender]]="O","Other", "Unknown")))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3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>
        <f>IF(orders[[#This Row],[Customer Gender]]="M","Male",IF( orders[[#This Row],[Customer Gender]]="F","Female",IF( orders[[#This Row],[Customer Gender]]="O","Other", "Unknown")))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3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>
        <f>IF(orders[[#This Row],[Customer Gender]]="M","Male",IF( orders[[#This Row],[Customer Gender]]="F","Female",IF( orders[[#This Row],[Customer Gender]]="O","Other", "Unknown")))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3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>
        <f>IF(orders[[#This Row],[Customer Gender]]="M","Male",IF( orders[[#This Row],[Customer Gender]]="F","Female",IF( orders[[#This Row],[Customer Gender]]="O","Other", "Unknown")))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3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>
        <f>IF(orders[[#This Row],[Customer Gender]]="M","Male",IF( orders[[#This Row],[Customer Gender]]="F","Female",IF( orders[[#This Row],[Customer Gender]]="O","Other", "Unknown")))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3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>
        <f>IF(orders[[#This Row],[Customer Gender]]="M","Male",IF( orders[[#This Row],[Customer Gender]]="F","Female",IF( orders[[#This Row],[Customer Gender]]="O","Other", "Unknown")))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3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>
        <f>IF(orders[[#This Row],[Customer Gender]]="M","Male",IF( orders[[#This Row],[Customer Gender]]="F","Female",IF( orders[[#This Row],[Customer Gender]]="O","Other", "Unknown")))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3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>
        <f>IF(orders[[#This Row],[Customer Gender]]="M","Male",IF( orders[[#This Row],[Customer Gender]]="F","Female",IF( orders[[#This Row],[Customer Gender]]="O","Other", "Unknown")))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3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>
        <f>IF(orders[[#This Row],[Customer Gender]]="M","Male",IF( orders[[#This Row],[Customer Gender]]="F","Female",IF( orders[[#This Row],[Customer Gender]]="O","Other", "Unknown")))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3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>
        <f>IF(orders[[#This Row],[Customer Gender]]="M","Male",IF( orders[[#This Row],[Customer Gender]]="F","Female",IF( orders[[#This Row],[Customer Gender]]="O","Other", "Unknown")))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3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>
        <f>IF(orders[[#This Row],[Customer Gender]]="M","Male",IF( orders[[#This Row],[Customer Gender]]="F","Female",IF( orders[[#This Row],[Customer Gender]]="O","Other", "Unknown")))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3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>
        <f>IF(orders[[#This Row],[Customer Gender]]="M","Male",IF( orders[[#This Row],[Customer Gender]]="F","Female",IF( orders[[#This Row],[Customer Gender]]="O","Other", "Unknown")))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3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>
        <f>IF(orders[[#This Row],[Customer Gender]]="M","Male",IF( orders[[#This Row],[Customer Gender]]="F","Female",IF( orders[[#This Row],[Customer Gender]]="O","Other", "Unknown")))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3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>
        <f>IF(orders[[#This Row],[Customer Gender]]="M","Male",IF( orders[[#This Row],[Customer Gender]]="F","Female",IF( orders[[#This Row],[Customer Gender]]="O","Other", "Unknown")))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3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>
        <f>IF(orders[[#This Row],[Customer Gender]]="M","Male",IF( orders[[#This Row],[Customer Gender]]="F","Female",IF( orders[[#This Row],[Customer Gender]]="O","Other", "Unknown")))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3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>
        <f>IF(orders[[#This Row],[Customer Gender]]="M","Male",IF( orders[[#This Row],[Customer Gender]]="F","Female",IF( orders[[#This Row],[Customer Gender]]="O","Other", "Unknown")))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3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>
        <f>IF(orders[[#This Row],[Customer Gender]]="M","Male",IF( orders[[#This Row],[Customer Gender]]="F","Female",IF( orders[[#This Row],[Customer Gender]]="O","Other", "Unknown")))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3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>
        <f>IF(orders[[#This Row],[Customer Gender]]="M","Male",IF( orders[[#This Row],[Customer Gender]]="F","Female",IF( orders[[#This Row],[Customer Gender]]="O","Other", "Unknown")))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zoomScale="86" zoomScaleNormal="86" workbookViewId="0">
      <selection activeCell="AC16" sqref="AC16"/>
    </sheetView>
  </sheetViews>
  <sheetFormatPr defaultColWidth="9.140625" defaultRowHeight="15" x14ac:dyDescent="0.25"/>
  <cols>
    <col min="1" max="1" width="3.28515625" customWidth="1"/>
    <col min="2" max="2" width="22.28515625" customWidth="1"/>
    <col min="3" max="4" width="3.28515625" customWidth="1"/>
    <col min="26" max="26" width="3.28515625" customWidth="1"/>
  </cols>
  <sheetData/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FE84-8CD2-4436-91D6-BB99E9050F60}">
  <dimension ref="B3:F4"/>
  <sheetViews>
    <sheetView workbookViewId="0">
      <selection activeCell="C8" sqref="C8"/>
    </sheetView>
  </sheetViews>
  <sheetFormatPr defaultRowHeight="15" x14ac:dyDescent="0.25"/>
  <cols>
    <col min="3" max="3" width="10.85546875" bestFit="1" customWidth="1"/>
    <col min="4" max="4" width="13.7109375" customWidth="1"/>
    <col min="5" max="5" width="9.7109375" bestFit="1" customWidth="1"/>
  </cols>
  <sheetData>
    <row r="3" spans="2:6" ht="18.75" x14ac:dyDescent="0.3">
      <c r="B3" s="10" t="s">
        <v>2503</v>
      </c>
      <c r="C3" s="10" t="s">
        <v>2</v>
      </c>
      <c r="D3" s="10" t="s">
        <v>4</v>
      </c>
      <c r="E3" s="10" t="s">
        <v>2525</v>
      </c>
      <c r="F3" s="10" t="s">
        <v>2524</v>
      </c>
    </row>
    <row r="4" spans="2:6" x14ac:dyDescent="0.25">
      <c r="B4">
        <f>Pivot!A3</f>
        <v>2400</v>
      </c>
      <c r="C4">
        <f>Pivot!B3</f>
        <v>11997</v>
      </c>
      <c r="D4" t="str">
        <f>TEXT(Pivot!C3/1000,"$#,##0")</f>
        <v>$649,020</v>
      </c>
      <c r="E4" t="str">
        <f>TEXT(Pivot!D3,"#,##")</f>
        <v>3,96</v>
      </c>
      <c r="F4" t="str">
        <f>SUBSTITUTE(TEXT(Pivot!E3,"#,##"),".",",")</f>
        <v>2,34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27CE-4F87-4440-A6FF-FE89490F442A}">
  <dimension ref="A2:P67"/>
  <sheetViews>
    <sheetView showGridLines="0" workbookViewId="0">
      <selection activeCell="E8" sqref="E8"/>
    </sheetView>
  </sheetViews>
  <sheetFormatPr defaultColWidth="11.42578125" defaultRowHeight="15" x14ac:dyDescent="0.25"/>
  <cols>
    <col min="1" max="1" width="13.42578125" bestFit="1" customWidth="1"/>
    <col min="2" max="2" width="19" bestFit="1" customWidth="1"/>
    <col min="3" max="3" width="18.28515625" bestFit="1" customWidth="1"/>
    <col min="4" max="4" width="20.28515625" bestFit="1" customWidth="1"/>
    <col min="5" max="5" width="26.7109375" bestFit="1" customWidth="1"/>
    <col min="6" max="6" width="16.85546875" bestFit="1" customWidth="1"/>
    <col min="7" max="8" width="4" bestFit="1" customWidth="1"/>
    <col min="9" max="9" width="5" bestFit="1" customWidth="1"/>
    <col min="10" max="10" width="4" bestFit="1" customWidth="1"/>
    <col min="11" max="11" width="11.28515625" bestFit="1" customWidth="1"/>
    <col min="12" max="12" width="8" bestFit="1" customWidth="1"/>
    <col min="13" max="13" width="25.5703125" bestFit="1" customWidth="1"/>
    <col min="14" max="14" width="21.85546875" bestFit="1" customWidth="1"/>
    <col min="15" max="15" width="18.85546875" bestFit="1" customWidth="1"/>
    <col min="16" max="16" width="18.140625" bestFit="1" customWidth="1"/>
  </cols>
  <sheetData>
    <row r="2" spans="1:16" x14ac:dyDescent="0.25">
      <c r="A2" t="s">
        <v>2504</v>
      </c>
      <c r="B2" t="s">
        <v>2505</v>
      </c>
      <c r="C2" t="s">
        <v>2506</v>
      </c>
      <c r="D2" t="s">
        <v>2507</v>
      </c>
      <c r="E2" t="s">
        <v>2508</v>
      </c>
    </row>
    <row r="3" spans="1:16" x14ac:dyDescent="0.25">
      <c r="A3">
        <v>2400</v>
      </c>
      <c r="B3">
        <v>11997</v>
      </c>
      <c r="C3">
        <v>649019.80000000144</v>
      </c>
      <c r="D3">
        <v>3.9620833333333332</v>
      </c>
      <c r="E3">
        <v>2.3424999999999998</v>
      </c>
      <c r="M3" s="4" t="s">
        <v>10</v>
      </c>
      <c r="N3" s="4" t="s">
        <v>11</v>
      </c>
      <c r="O3" t="s">
        <v>2505</v>
      </c>
      <c r="P3" t="s">
        <v>2506</v>
      </c>
    </row>
    <row r="4" spans="1:16" x14ac:dyDescent="0.25">
      <c r="M4" t="s">
        <v>19</v>
      </c>
      <c r="N4" t="s">
        <v>115</v>
      </c>
      <c r="O4">
        <v>579</v>
      </c>
      <c r="P4">
        <v>31884.999999999996</v>
      </c>
    </row>
    <row r="5" spans="1:16" x14ac:dyDescent="0.25">
      <c r="M5" t="s">
        <v>19</v>
      </c>
      <c r="N5" t="s">
        <v>20</v>
      </c>
      <c r="O5">
        <v>1</v>
      </c>
      <c r="P5">
        <v>10.9</v>
      </c>
    </row>
    <row r="6" spans="1:16" x14ac:dyDescent="0.25">
      <c r="M6" t="s">
        <v>19</v>
      </c>
      <c r="N6" t="s">
        <v>641</v>
      </c>
      <c r="O6">
        <v>9</v>
      </c>
      <c r="P6">
        <v>800.3</v>
      </c>
    </row>
    <row r="7" spans="1:16" x14ac:dyDescent="0.25">
      <c r="M7" t="s">
        <v>19</v>
      </c>
      <c r="N7" t="s">
        <v>967</v>
      </c>
      <c r="O7">
        <v>35</v>
      </c>
      <c r="P7">
        <v>1062.5999999999999</v>
      </c>
    </row>
    <row r="8" spans="1:16" x14ac:dyDescent="0.25">
      <c r="A8" s="4" t="s">
        <v>2521</v>
      </c>
      <c r="B8" t="s">
        <v>2505</v>
      </c>
      <c r="C8" t="s">
        <v>2506</v>
      </c>
      <c r="M8" t="s">
        <v>19</v>
      </c>
      <c r="N8" t="s">
        <v>84</v>
      </c>
      <c r="O8">
        <v>12</v>
      </c>
      <c r="P8">
        <v>326.20000000000005</v>
      </c>
    </row>
    <row r="9" spans="1:16" x14ac:dyDescent="0.25">
      <c r="A9" s="5">
        <v>1</v>
      </c>
      <c r="B9">
        <v>546</v>
      </c>
      <c r="C9" s="6">
        <v>32413.300000000003</v>
      </c>
      <c r="M9" t="s">
        <v>19</v>
      </c>
      <c r="N9" t="s">
        <v>1383</v>
      </c>
      <c r="O9">
        <v>4</v>
      </c>
      <c r="P9">
        <v>167.5</v>
      </c>
    </row>
    <row r="10" spans="1:16" x14ac:dyDescent="0.25">
      <c r="A10" s="5">
        <v>2</v>
      </c>
      <c r="B10">
        <v>905</v>
      </c>
      <c r="C10" s="6">
        <v>49562.999999999993</v>
      </c>
      <c r="M10" t="s">
        <v>19</v>
      </c>
      <c r="N10" t="s">
        <v>24</v>
      </c>
      <c r="O10">
        <v>341</v>
      </c>
      <c r="P10">
        <v>16168.7</v>
      </c>
    </row>
    <row r="11" spans="1:16" x14ac:dyDescent="0.25">
      <c r="A11" s="5">
        <v>3</v>
      </c>
      <c r="B11">
        <v>796</v>
      </c>
      <c r="C11" s="6">
        <v>41700.400000000016</v>
      </c>
      <c r="M11" t="s">
        <v>19</v>
      </c>
      <c r="N11" t="s">
        <v>2204</v>
      </c>
      <c r="O11">
        <v>13</v>
      </c>
      <c r="P11">
        <v>322.40000000000003</v>
      </c>
    </row>
    <row r="12" spans="1:16" x14ac:dyDescent="0.25">
      <c r="A12" s="5">
        <v>4</v>
      </c>
      <c r="B12">
        <v>913</v>
      </c>
      <c r="C12" s="6">
        <v>46782.599999999984</v>
      </c>
      <c r="M12" t="s">
        <v>19</v>
      </c>
      <c r="N12" t="s">
        <v>437</v>
      </c>
      <c r="O12">
        <v>31</v>
      </c>
      <c r="P12">
        <v>2092.8000000000002</v>
      </c>
    </row>
    <row r="13" spans="1:16" x14ac:dyDescent="0.25">
      <c r="A13" s="5">
        <v>5</v>
      </c>
      <c r="B13">
        <v>844</v>
      </c>
      <c r="C13" s="6">
        <v>42676.100000000006</v>
      </c>
      <c r="M13" t="s">
        <v>19</v>
      </c>
      <c r="N13" t="s">
        <v>28</v>
      </c>
      <c r="O13">
        <v>279</v>
      </c>
      <c r="P13">
        <v>12662.500000000002</v>
      </c>
    </row>
    <row r="14" spans="1:16" x14ac:dyDescent="0.25">
      <c r="A14" s="5">
        <v>6</v>
      </c>
      <c r="B14">
        <v>1202</v>
      </c>
      <c r="C14" s="6">
        <v>62910.7</v>
      </c>
      <c r="M14" t="s">
        <v>19</v>
      </c>
      <c r="N14" t="s">
        <v>208</v>
      </c>
      <c r="O14">
        <v>9</v>
      </c>
      <c r="P14">
        <v>343.2</v>
      </c>
    </row>
    <row r="15" spans="1:16" x14ac:dyDescent="0.25">
      <c r="A15" s="5">
        <v>7</v>
      </c>
      <c r="B15">
        <v>935</v>
      </c>
      <c r="C15" s="6">
        <v>50332.200000000004</v>
      </c>
      <c r="M15" t="s">
        <v>19</v>
      </c>
      <c r="N15" t="s">
        <v>587</v>
      </c>
      <c r="O15">
        <v>49</v>
      </c>
      <c r="P15">
        <v>2188.2999999999997</v>
      </c>
    </row>
    <row r="16" spans="1:16" x14ac:dyDescent="0.25">
      <c r="A16" s="5">
        <v>8</v>
      </c>
      <c r="B16">
        <v>1128</v>
      </c>
      <c r="C16" s="6">
        <v>58760.599999999977</v>
      </c>
      <c r="M16" t="s">
        <v>19</v>
      </c>
      <c r="N16" t="s">
        <v>331</v>
      </c>
      <c r="O16">
        <v>59</v>
      </c>
      <c r="P16">
        <v>2661.5999999999995</v>
      </c>
    </row>
    <row r="17" spans="1:16" x14ac:dyDescent="0.25">
      <c r="A17" s="5">
        <v>9</v>
      </c>
      <c r="B17">
        <v>1007</v>
      </c>
      <c r="C17" s="6">
        <v>52017.299999999996</v>
      </c>
      <c r="M17" t="s">
        <v>19</v>
      </c>
      <c r="N17" t="s">
        <v>86</v>
      </c>
      <c r="O17">
        <v>8</v>
      </c>
      <c r="P17">
        <v>887.5</v>
      </c>
    </row>
    <row r="18" spans="1:16" x14ac:dyDescent="0.25">
      <c r="A18" s="5">
        <v>10</v>
      </c>
      <c r="B18">
        <v>1128</v>
      </c>
      <c r="C18" s="6">
        <v>64915.700000000033</v>
      </c>
      <c r="M18" t="s">
        <v>19</v>
      </c>
      <c r="N18" t="s">
        <v>147</v>
      </c>
      <c r="O18">
        <v>222</v>
      </c>
      <c r="P18">
        <v>11354.199999999993</v>
      </c>
    </row>
    <row r="19" spans="1:16" x14ac:dyDescent="0.25">
      <c r="A19" s="5">
        <v>11</v>
      </c>
      <c r="B19">
        <v>861</v>
      </c>
      <c r="C19" s="6">
        <v>45943.80000000001</v>
      </c>
      <c r="M19" t="s">
        <v>19</v>
      </c>
      <c r="N19" t="s">
        <v>334</v>
      </c>
      <c r="O19">
        <v>36</v>
      </c>
      <c r="P19">
        <v>1558.4</v>
      </c>
    </row>
    <row r="20" spans="1:16" x14ac:dyDescent="0.25">
      <c r="A20" s="5">
        <v>12</v>
      </c>
      <c r="B20">
        <v>944</v>
      </c>
      <c r="C20" s="6">
        <v>55077.900000000031</v>
      </c>
      <c r="M20" t="s">
        <v>19</v>
      </c>
      <c r="N20" t="s">
        <v>949</v>
      </c>
      <c r="O20">
        <v>30</v>
      </c>
      <c r="P20">
        <v>2223.9</v>
      </c>
    </row>
    <row r="21" spans="1:16" x14ac:dyDescent="0.25">
      <c r="A21" s="5">
        <v>13</v>
      </c>
      <c r="B21">
        <v>788</v>
      </c>
      <c r="C21" s="6">
        <v>45926.19999999999</v>
      </c>
      <c r="M21" t="s">
        <v>19</v>
      </c>
      <c r="N21" t="s">
        <v>1426</v>
      </c>
      <c r="O21">
        <v>1</v>
      </c>
      <c r="P21">
        <v>26.2</v>
      </c>
    </row>
    <row r="22" spans="1:16" x14ac:dyDescent="0.25">
      <c r="A22" s="5" t="s">
        <v>2522</v>
      </c>
      <c r="B22">
        <v>11997</v>
      </c>
      <c r="C22" s="6">
        <v>649019.79999999993</v>
      </c>
      <c r="M22" t="s">
        <v>19</v>
      </c>
      <c r="N22" t="s">
        <v>33</v>
      </c>
      <c r="O22">
        <v>3991</v>
      </c>
      <c r="P22">
        <v>215551.19999999981</v>
      </c>
    </row>
    <row r="23" spans="1:16" x14ac:dyDescent="0.25">
      <c r="M23" t="s">
        <v>19</v>
      </c>
      <c r="N23" t="s">
        <v>364</v>
      </c>
      <c r="O23">
        <v>45</v>
      </c>
      <c r="P23">
        <v>2687.3999999999996</v>
      </c>
    </row>
    <row r="24" spans="1:16" x14ac:dyDescent="0.25">
      <c r="M24" t="s">
        <v>19</v>
      </c>
      <c r="N24" t="s">
        <v>545</v>
      </c>
      <c r="O24">
        <v>39</v>
      </c>
      <c r="P24">
        <v>1463.3000000000002</v>
      </c>
    </row>
    <row r="25" spans="1:16" x14ac:dyDescent="0.25">
      <c r="M25" t="s">
        <v>19</v>
      </c>
      <c r="N25" t="s">
        <v>416</v>
      </c>
      <c r="O25">
        <v>6</v>
      </c>
      <c r="P25">
        <v>445.79999999999995</v>
      </c>
    </row>
    <row r="26" spans="1:16" x14ac:dyDescent="0.25">
      <c r="M26" t="s">
        <v>19</v>
      </c>
      <c r="N26" t="s">
        <v>258</v>
      </c>
      <c r="O26">
        <v>9</v>
      </c>
      <c r="P26">
        <v>273.59999999999997</v>
      </c>
    </row>
    <row r="27" spans="1:16" x14ac:dyDescent="0.25">
      <c r="M27" t="s">
        <v>19</v>
      </c>
      <c r="N27" t="s">
        <v>186</v>
      </c>
      <c r="O27">
        <v>60</v>
      </c>
      <c r="P27">
        <v>2690.4</v>
      </c>
    </row>
    <row r="28" spans="1:16" x14ac:dyDescent="0.25">
      <c r="A28" s="4" t="s">
        <v>2521</v>
      </c>
      <c r="B28" t="s">
        <v>2504</v>
      </c>
      <c r="E28" s="4" t="s">
        <v>2505</v>
      </c>
      <c r="F28" s="4" t="s">
        <v>2523</v>
      </c>
      <c r="M28" t="s">
        <v>19</v>
      </c>
      <c r="N28" t="s">
        <v>392</v>
      </c>
      <c r="O28">
        <v>2</v>
      </c>
      <c r="P28">
        <v>28.4</v>
      </c>
    </row>
    <row r="29" spans="1:16" x14ac:dyDescent="0.25">
      <c r="A29" s="5">
        <v>1</v>
      </c>
      <c r="B29">
        <v>397</v>
      </c>
      <c r="E29" s="4" t="s">
        <v>2521</v>
      </c>
      <c r="F29" t="s">
        <v>2512</v>
      </c>
      <c r="G29" t="s">
        <v>2513</v>
      </c>
      <c r="H29" t="s">
        <v>2514</v>
      </c>
      <c r="I29" t="s">
        <v>2511</v>
      </c>
      <c r="J29" t="s">
        <v>2522</v>
      </c>
      <c r="M29" t="s">
        <v>19</v>
      </c>
      <c r="N29" t="s">
        <v>670</v>
      </c>
      <c r="O29">
        <v>4</v>
      </c>
      <c r="P29">
        <v>204.8</v>
      </c>
    </row>
    <row r="30" spans="1:16" x14ac:dyDescent="0.25">
      <c r="A30" s="5">
        <v>2</v>
      </c>
      <c r="B30">
        <v>540</v>
      </c>
      <c r="E30" s="5" t="s">
        <v>44</v>
      </c>
      <c r="F30">
        <v>744</v>
      </c>
      <c r="G30">
        <v>713</v>
      </c>
      <c r="H30">
        <v>90</v>
      </c>
      <c r="I30">
        <v>98</v>
      </c>
      <c r="J30">
        <v>1645</v>
      </c>
      <c r="M30" t="s">
        <v>19</v>
      </c>
      <c r="N30" t="s">
        <v>802</v>
      </c>
      <c r="O30">
        <v>31</v>
      </c>
      <c r="P30">
        <v>1607.8999999999999</v>
      </c>
    </row>
    <row r="31" spans="1:16" x14ac:dyDescent="0.25">
      <c r="A31" s="5">
        <v>3</v>
      </c>
      <c r="B31">
        <v>375</v>
      </c>
      <c r="E31" s="5" t="s">
        <v>39</v>
      </c>
      <c r="F31">
        <v>716</v>
      </c>
      <c r="G31">
        <v>598</v>
      </c>
      <c r="H31">
        <v>18</v>
      </c>
      <c r="I31">
        <v>214</v>
      </c>
      <c r="J31">
        <v>1546</v>
      </c>
      <c r="M31" t="s">
        <v>19</v>
      </c>
      <c r="N31" t="s">
        <v>98</v>
      </c>
      <c r="O31">
        <v>88</v>
      </c>
      <c r="P31">
        <v>6444.9</v>
      </c>
    </row>
    <row r="32" spans="1:16" x14ac:dyDescent="0.25">
      <c r="A32" s="5">
        <v>4</v>
      </c>
      <c r="B32">
        <v>246</v>
      </c>
      <c r="E32" s="5" t="s">
        <v>26</v>
      </c>
      <c r="F32">
        <v>627</v>
      </c>
      <c r="G32">
        <v>393</v>
      </c>
      <c r="H32">
        <v>29</v>
      </c>
      <c r="I32">
        <v>137</v>
      </c>
      <c r="J32">
        <v>1186</v>
      </c>
      <c r="M32" t="s">
        <v>19</v>
      </c>
      <c r="N32" t="s">
        <v>49</v>
      </c>
      <c r="O32">
        <v>25</v>
      </c>
      <c r="P32">
        <v>1809.3</v>
      </c>
    </row>
    <row r="33" spans="1:16" x14ac:dyDescent="0.25">
      <c r="A33" s="5">
        <v>5</v>
      </c>
      <c r="B33">
        <v>195</v>
      </c>
      <c r="E33" s="5" t="s">
        <v>22</v>
      </c>
      <c r="F33">
        <v>568</v>
      </c>
      <c r="G33">
        <v>306</v>
      </c>
      <c r="H33">
        <v>22</v>
      </c>
      <c r="I33">
        <v>16</v>
      </c>
      <c r="J33">
        <v>912</v>
      </c>
      <c r="M33" t="s">
        <v>19</v>
      </c>
      <c r="N33" t="s">
        <v>188</v>
      </c>
      <c r="O33">
        <v>178</v>
      </c>
      <c r="P33">
        <v>9680.399999999996</v>
      </c>
    </row>
    <row r="34" spans="1:16" x14ac:dyDescent="0.25">
      <c r="A34" s="5" t="s">
        <v>2516</v>
      </c>
      <c r="B34">
        <v>539</v>
      </c>
      <c r="E34" s="5" t="s">
        <v>54</v>
      </c>
      <c r="F34">
        <v>482</v>
      </c>
      <c r="G34">
        <v>295</v>
      </c>
      <c r="H34">
        <v>8</v>
      </c>
      <c r="I34">
        <v>22</v>
      </c>
      <c r="J34">
        <v>807</v>
      </c>
      <c r="M34" t="s">
        <v>19</v>
      </c>
      <c r="N34" t="s">
        <v>52</v>
      </c>
      <c r="O34">
        <v>141</v>
      </c>
      <c r="P34">
        <v>9414.7999999999993</v>
      </c>
    </row>
    <row r="35" spans="1:16" x14ac:dyDescent="0.25">
      <c r="A35" s="5" t="s">
        <v>2517</v>
      </c>
      <c r="B35">
        <v>108</v>
      </c>
      <c r="E35" s="5" t="s">
        <v>16</v>
      </c>
      <c r="F35">
        <v>428</v>
      </c>
      <c r="G35">
        <v>293</v>
      </c>
      <c r="I35">
        <v>24</v>
      </c>
      <c r="J35">
        <v>745</v>
      </c>
      <c r="M35" t="s">
        <v>19</v>
      </c>
      <c r="N35" t="s">
        <v>338</v>
      </c>
      <c r="O35">
        <v>6</v>
      </c>
      <c r="P35">
        <v>206.1</v>
      </c>
    </row>
    <row r="36" spans="1:16" x14ac:dyDescent="0.25">
      <c r="A36" s="5" t="s">
        <v>2522</v>
      </c>
      <c r="B36">
        <v>2400</v>
      </c>
      <c r="E36" s="5" t="s">
        <v>46</v>
      </c>
      <c r="F36">
        <v>445</v>
      </c>
      <c r="G36">
        <v>202</v>
      </c>
      <c r="H36">
        <v>14</v>
      </c>
      <c r="I36">
        <v>39</v>
      </c>
      <c r="J36">
        <v>700</v>
      </c>
      <c r="M36" t="s">
        <v>19</v>
      </c>
      <c r="N36" t="s">
        <v>158</v>
      </c>
      <c r="O36">
        <v>178</v>
      </c>
      <c r="P36">
        <v>7691.3</v>
      </c>
    </row>
    <row r="37" spans="1:16" x14ac:dyDescent="0.25">
      <c r="E37" s="5" t="s">
        <v>32</v>
      </c>
      <c r="F37">
        <v>431</v>
      </c>
      <c r="G37">
        <v>187</v>
      </c>
      <c r="H37">
        <v>14</v>
      </c>
      <c r="I37">
        <v>15</v>
      </c>
      <c r="J37">
        <v>647</v>
      </c>
      <c r="M37" t="s">
        <v>19</v>
      </c>
      <c r="N37" t="s">
        <v>55</v>
      </c>
      <c r="O37">
        <v>699</v>
      </c>
      <c r="P37">
        <v>37784.900000000016</v>
      </c>
    </row>
    <row r="38" spans="1:16" x14ac:dyDescent="0.25">
      <c r="E38" s="5" t="s">
        <v>42</v>
      </c>
      <c r="F38">
        <v>264</v>
      </c>
      <c r="G38">
        <v>318</v>
      </c>
      <c r="H38">
        <v>15</v>
      </c>
      <c r="I38">
        <v>9</v>
      </c>
      <c r="J38">
        <v>606</v>
      </c>
      <c r="M38" t="s">
        <v>19</v>
      </c>
      <c r="N38" t="s">
        <v>342</v>
      </c>
      <c r="O38">
        <v>23</v>
      </c>
      <c r="P38">
        <v>1129.7</v>
      </c>
    </row>
    <row r="39" spans="1:16" x14ac:dyDescent="0.25">
      <c r="E39" s="5" t="s">
        <v>37</v>
      </c>
      <c r="F39">
        <v>296</v>
      </c>
      <c r="G39">
        <v>275</v>
      </c>
      <c r="H39">
        <v>9</v>
      </c>
      <c r="I39">
        <v>23</v>
      </c>
      <c r="J39">
        <v>603</v>
      </c>
      <c r="M39" t="s">
        <v>19</v>
      </c>
      <c r="N39" t="s">
        <v>59</v>
      </c>
      <c r="O39">
        <v>356</v>
      </c>
      <c r="P39">
        <v>20988.9</v>
      </c>
    </row>
    <row r="40" spans="1:16" x14ac:dyDescent="0.25">
      <c r="A40" s="4" t="s">
        <v>2521</v>
      </c>
      <c r="B40" t="s">
        <v>2505</v>
      </c>
      <c r="E40" s="5" t="s">
        <v>2522</v>
      </c>
      <c r="F40">
        <v>5001</v>
      </c>
      <c r="G40">
        <v>3580</v>
      </c>
      <c r="H40">
        <v>219</v>
      </c>
      <c r="I40">
        <v>597</v>
      </c>
      <c r="J40">
        <v>9397</v>
      </c>
      <c r="M40" t="s">
        <v>19</v>
      </c>
      <c r="N40" t="s">
        <v>62</v>
      </c>
      <c r="O40">
        <v>1768</v>
      </c>
      <c r="P40">
        <v>98367.099999999977</v>
      </c>
    </row>
    <row r="41" spans="1:16" x14ac:dyDescent="0.25">
      <c r="A41" s="5" t="s">
        <v>2512</v>
      </c>
      <c r="B41">
        <v>6272</v>
      </c>
      <c r="M41" t="s">
        <v>19</v>
      </c>
      <c r="N41" t="s">
        <v>103</v>
      </c>
      <c r="O41">
        <v>307</v>
      </c>
      <c r="P41">
        <v>21911.9</v>
      </c>
    </row>
    <row r="42" spans="1:16" x14ac:dyDescent="0.25">
      <c r="A42" s="5" t="s">
        <v>2513</v>
      </c>
      <c r="B42">
        <v>4672</v>
      </c>
      <c r="M42" t="s">
        <v>19</v>
      </c>
      <c r="N42" t="s">
        <v>201</v>
      </c>
      <c r="O42">
        <v>117</v>
      </c>
      <c r="P42">
        <v>5441.2</v>
      </c>
    </row>
    <row r="43" spans="1:16" x14ac:dyDescent="0.25">
      <c r="A43" s="5" t="s">
        <v>2514</v>
      </c>
      <c r="B43">
        <v>317</v>
      </c>
      <c r="M43" t="s">
        <v>19</v>
      </c>
      <c r="N43" t="s">
        <v>429</v>
      </c>
      <c r="O43">
        <v>13</v>
      </c>
      <c r="P43">
        <v>392.8</v>
      </c>
    </row>
    <row r="44" spans="1:16" x14ac:dyDescent="0.25">
      <c r="A44" s="5" t="s">
        <v>2511</v>
      </c>
      <c r="B44">
        <v>736</v>
      </c>
      <c r="M44" t="s">
        <v>19</v>
      </c>
      <c r="N44" t="s">
        <v>72</v>
      </c>
      <c r="O44">
        <v>364</v>
      </c>
      <c r="P44">
        <v>16172.000000000005</v>
      </c>
    </row>
    <row r="45" spans="1:16" x14ac:dyDescent="0.25">
      <c r="A45" s="5" t="s">
        <v>2522</v>
      </c>
      <c r="B45">
        <v>11997</v>
      </c>
      <c r="M45" t="s">
        <v>19</v>
      </c>
      <c r="N45" t="s">
        <v>74</v>
      </c>
      <c r="O45">
        <v>95</v>
      </c>
      <c r="P45">
        <v>4334.9999999999991</v>
      </c>
    </row>
    <row r="46" spans="1:16" x14ac:dyDescent="0.25">
      <c r="M46" t="s">
        <v>19</v>
      </c>
      <c r="N46" t="s">
        <v>77</v>
      </c>
      <c r="O46">
        <v>737</v>
      </c>
      <c r="P46">
        <v>37449.000000000007</v>
      </c>
    </row>
    <row r="47" spans="1:16" x14ac:dyDescent="0.25">
      <c r="M47" t="s">
        <v>19</v>
      </c>
      <c r="N47" t="s">
        <v>309</v>
      </c>
      <c r="O47">
        <v>39</v>
      </c>
      <c r="P47">
        <v>2447.5</v>
      </c>
    </row>
    <row r="48" spans="1:16" x14ac:dyDescent="0.25">
      <c r="M48" t="s">
        <v>19</v>
      </c>
      <c r="N48" t="s">
        <v>1116</v>
      </c>
      <c r="O48">
        <v>56</v>
      </c>
      <c r="P48">
        <v>3391.1</v>
      </c>
    </row>
    <row r="49" spans="1:16" x14ac:dyDescent="0.25">
      <c r="M49" t="s">
        <v>19</v>
      </c>
      <c r="N49" t="s">
        <v>700</v>
      </c>
      <c r="O49">
        <v>2</v>
      </c>
      <c r="P49">
        <v>30.8</v>
      </c>
    </row>
    <row r="50" spans="1:16" x14ac:dyDescent="0.25">
      <c r="M50" t="s">
        <v>19</v>
      </c>
      <c r="N50" t="s">
        <v>268</v>
      </c>
      <c r="O50">
        <v>8</v>
      </c>
      <c r="P50">
        <v>332.3</v>
      </c>
    </row>
    <row r="51" spans="1:16" x14ac:dyDescent="0.25">
      <c r="A51" s="4" t="s">
        <v>2521</v>
      </c>
      <c r="B51" t="s">
        <v>2504</v>
      </c>
      <c r="M51" t="s">
        <v>19</v>
      </c>
      <c r="N51" t="s">
        <v>377</v>
      </c>
      <c r="O51">
        <v>52</v>
      </c>
      <c r="P51">
        <v>3175.9999999999995</v>
      </c>
    </row>
    <row r="52" spans="1:16" x14ac:dyDescent="0.25">
      <c r="A52" s="5">
        <v>0</v>
      </c>
      <c r="B52">
        <v>175</v>
      </c>
      <c r="M52" t="s">
        <v>19</v>
      </c>
      <c r="N52" t="s">
        <v>108</v>
      </c>
      <c r="O52">
        <v>295</v>
      </c>
      <c r="P52">
        <v>20939.600000000002</v>
      </c>
    </row>
    <row r="53" spans="1:16" x14ac:dyDescent="0.25">
      <c r="A53" s="5">
        <v>1</v>
      </c>
      <c r="B53">
        <v>888</v>
      </c>
      <c r="M53" t="s">
        <v>19</v>
      </c>
      <c r="N53" t="s">
        <v>110</v>
      </c>
      <c r="O53">
        <v>195</v>
      </c>
      <c r="P53">
        <v>10185.899999999996</v>
      </c>
    </row>
    <row r="54" spans="1:16" x14ac:dyDescent="0.25">
      <c r="A54" s="5">
        <v>2</v>
      </c>
      <c r="B54">
        <v>538</v>
      </c>
      <c r="E54" s="4" t="s">
        <v>2504</v>
      </c>
      <c r="F54" s="4" t="s">
        <v>2523</v>
      </c>
      <c r="M54" t="s">
        <v>19</v>
      </c>
      <c r="N54" t="s">
        <v>292</v>
      </c>
      <c r="O54">
        <v>20</v>
      </c>
      <c r="P54">
        <v>958.7</v>
      </c>
    </row>
    <row r="55" spans="1:16" x14ac:dyDescent="0.25">
      <c r="A55" s="5">
        <v>3</v>
      </c>
      <c r="B55">
        <v>344</v>
      </c>
      <c r="E55" s="4" t="s">
        <v>2521</v>
      </c>
      <c r="F55">
        <v>1</v>
      </c>
      <c r="G55">
        <v>2</v>
      </c>
      <c r="H55">
        <v>3</v>
      </c>
      <c r="I55">
        <v>4</v>
      </c>
      <c r="J55">
        <v>5</v>
      </c>
      <c r="K55" t="s">
        <v>2522</v>
      </c>
      <c r="M55" t="s">
        <v>19</v>
      </c>
      <c r="N55" t="s">
        <v>79</v>
      </c>
      <c r="O55">
        <v>6</v>
      </c>
      <c r="P55">
        <v>323</v>
      </c>
    </row>
    <row r="56" spans="1:16" x14ac:dyDescent="0.25">
      <c r="A56" s="5">
        <v>4</v>
      </c>
      <c r="B56">
        <v>200</v>
      </c>
      <c r="E56" s="5" t="s">
        <v>2518</v>
      </c>
      <c r="F56">
        <v>7</v>
      </c>
      <c r="G56">
        <v>37</v>
      </c>
      <c r="H56">
        <v>150</v>
      </c>
      <c r="I56">
        <v>312</v>
      </c>
      <c r="J56">
        <v>224</v>
      </c>
      <c r="K56">
        <v>730</v>
      </c>
      <c r="M56" t="s">
        <v>19</v>
      </c>
      <c r="N56" t="s">
        <v>608</v>
      </c>
      <c r="O56">
        <v>5</v>
      </c>
      <c r="P56">
        <v>167.70000000000002</v>
      </c>
    </row>
    <row r="57" spans="1:16" x14ac:dyDescent="0.25">
      <c r="A57" s="5">
        <v>5</v>
      </c>
      <c r="B57">
        <v>94</v>
      </c>
      <c r="E57" s="5" t="s">
        <v>2519</v>
      </c>
      <c r="F57">
        <v>8</v>
      </c>
      <c r="G57">
        <v>51</v>
      </c>
      <c r="H57">
        <v>182</v>
      </c>
      <c r="I57">
        <v>373</v>
      </c>
      <c r="J57">
        <v>247</v>
      </c>
      <c r="K57">
        <v>861</v>
      </c>
      <c r="M57" t="s">
        <v>19</v>
      </c>
      <c r="N57" t="s">
        <v>113</v>
      </c>
      <c r="O57">
        <v>94</v>
      </c>
      <c r="P57">
        <v>3978.5</v>
      </c>
    </row>
    <row r="58" spans="1:16" x14ac:dyDescent="0.25">
      <c r="A58" s="5">
        <v>6</v>
      </c>
      <c r="B58">
        <v>51</v>
      </c>
      <c r="E58" s="5" t="s">
        <v>2520</v>
      </c>
      <c r="F58">
        <v>6</v>
      </c>
      <c r="G58">
        <v>39</v>
      </c>
      <c r="H58">
        <v>163</v>
      </c>
      <c r="I58">
        <v>351</v>
      </c>
      <c r="J58">
        <v>250</v>
      </c>
      <c r="K58">
        <v>809</v>
      </c>
      <c r="M58" t="s">
        <v>19</v>
      </c>
      <c r="N58" t="s">
        <v>997</v>
      </c>
      <c r="O58">
        <v>28</v>
      </c>
      <c r="P58">
        <v>1405</v>
      </c>
    </row>
    <row r="59" spans="1:16" x14ac:dyDescent="0.25">
      <c r="A59" s="5">
        <v>7</v>
      </c>
      <c r="B59">
        <v>32</v>
      </c>
      <c r="E59" s="5" t="s">
        <v>2522</v>
      </c>
      <c r="F59">
        <v>21</v>
      </c>
      <c r="G59">
        <v>127</v>
      </c>
      <c r="H59">
        <v>495</v>
      </c>
      <c r="I59">
        <v>1036</v>
      </c>
      <c r="J59">
        <v>721</v>
      </c>
      <c r="K59">
        <v>2400</v>
      </c>
      <c r="M59" t="s">
        <v>19</v>
      </c>
      <c r="N59" t="s">
        <v>82</v>
      </c>
      <c r="O59">
        <v>179</v>
      </c>
      <c r="P59">
        <v>9869.0999999999985</v>
      </c>
    </row>
    <row r="60" spans="1:16" x14ac:dyDescent="0.25">
      <c r="A60" s="5">
        <v>8</v>
      </c>
      <c r="B60">
        <v>23</v>
      </c>
      <c r="M60" t="s">
        <v>19</v>
      </c>
      <c r="N60" t="s">
        <v>243</v>
      </c>
      <c r="O60">
        <v>15</v>
      </c>
      <c r="P60">
        <v>615.29999999999995</v>
      </c>
    </row>
    <row r="61" spans="1:16" x14ac:dyDescent="0.25">
      <c r="A61" s="5">
        <v>9</v>
      </c>
      <c r="B61">
        <v>9</v>
      </c>
      <c r="M61" t="s">
        <v>19</v>
      </c>
      <c r="N61" t="s">
        <v>1911</v>
      </c>
      <c r="O61">
        <v>3</v>
      </c>
      <c r="P61">
        <v>285</v>
      </c>
    </row>
    <row r="62" spans="1:16" x14ac:dyDescent="0.25">
      <c r="A62" s="5">
        <v>10</v>
      </c>
      <c r="B62">
        <v>8</v>
      </c>
    </row>
    <row r="63" spans="1:16" x14ac:dyDescent="0.25">
      <c r="A63" s="5">
        <v>11</v>
      </c>
      <c r="B63">
        <v>11</v>
      </c>
    </row>
    <row r="64" spans="1:16" x14ac:dyDescent="0.25">
      <c r="A64" s="5">
        <v>12</v>
      </c>
      <c r="B64">
        <v>4</v>
      </c>
    </row>
    <row r="65" spans="1:2" x14ac:dyDescent="0.25">
      <c r="A65" s="5">
        <v>13</v>
      </c>
      <c r="B65">
        <v>10</v>
      </c>
    </row>
    <row r="66" spans="1:2" x14ac:dyDescent="0.25">
      <c r="A66" s="5">
        <v>14</v>
      </c>
      <c r="B66">
        <v>13</v>
      </c>
    </row>
    <row r="67" spans="1:2" x14ac:dyDescent="0.25">
      <c r="A67" s="5" t="s">
        <v>2522</v>
      </c>
      <c r="B67">
        <v>2400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C20-76BC-434E-BAC3-B02A7EDFA4A9}">
  <dimension ref="A1:F25"/>
  <sheetViews>
    <sheetView workbookViewId="0">
      <selection activeCell="D30" sqref="D30"/>
    </sheetView>
  </sheetViews>
  <sheetFormatPr defaultColWidth="11.42578125" defaultRowHeight="15" x14ac:dyDescent="0.25"/>
  <cols>
    <col min="1" max="1" width="13.42578125" bestFit="1" customWidth="1"/>
    <col min="2" max="2" width="18.28515625" bestFit="1" customWidth="1"/>
    <col min="3" max="3" width="7.140625" bestFit="1" customWidth="1"/>
    <col min="4" max="4" width="6.140625" bestFit="1" customWidth="1"/>
    <col min="5" max="5" width="9.28515625" bestFit="1" customWidth="1"/>
    <col min="6" max="6" width="12.5703125" bestFit="1" customWidth="1"/>
  </cols>
  <sheetData>
    <row r="1" spans="1:6" x14ac:dyDescent="0.25">
      <c r="A1" s="4" t="s">
        <v>2506</v>
      </c>
      <c r="B1" s="4" t="s">
        <v>2515</v>
      </c>
    </row>
    <row r="2" spans="1:6" x14ac:dyDescent="0.25">
      <c r="A2" s="4" t="s">
        <v>2509</v>
      </c>
      <c r="B2" t="s">
        <v>2512</v>
      </c>
      <c r="C2" t="s">
        <v>2513</v>
      </c>
      <c r="D2" t="s">
        <v>2514</v>
      </c>
      <c r="E2" t="s">
        <v>2511</v>
      </c>
      <c r="F2" t="s">
        <v>2510</v>
      </c>
    </row>
    <row r="3" spans="1:6" x14ac:dyDescent="0.25">
      <c r="A3" s="5" t="s">
        <v>18</v>
      </c>
      <c r="B3" s="7">
        <v>0.18961825201634841</v>
      </c>
      <c r="C3" s="7">
        <v>0.12262322351336576</v>
      </c>
      <c r="D3" s="7">
        <v>1.060537752469185E-2</v>
      </c>
      <c r="E3" s="7">
        <v>3.0599220547662797E-2</v>
      </c>
      <c r="F3" s="7">
        <v>0.35344607360206881</v>
      </c>
    </row>
    <row r="4" spans="1:6" x14ac:dyDescent="0.25">
      <c r="A4" s="5" t="s">
        <v>51</v>
      </c>
      <c r="B4" s="7">
        <v>5.0283982091147303E-2</v>
      </c>
      <c r="C4" s="7">
        <v>4.3060781812819873E-2</v>
      </c>
      <c r="D4" s="7">
        <v>1.5320025675641944E-3</v>
      </c>
      <c r="E4" s="7">
        <v>1.7794988689097006E-2</v>
      </c>
      <c r="F4" s="7">
        <v>0.11267175516062837</v>
      </c>
    </row>
    <row r="5" spans="1:6" x14ac:dyDescent="0.25">
      <c r="A5" s="5" t="s">
        <v>70</v>
      </c>
      <c r="B5" s="7">
        <v>6.3496059750411282E-2</v>
      </c>
      <c r="C5" s="7">
        <v>4.6071629863988765E-2</v>
      </c>
      <c r="D5" s="7">
        <v>2.306247051322625E-3</v>
      </c>
      <c r="E5" s="7">
        <v>3.8927934093844286E-3</v>
      </c>
      <c r="F5" s="7">
        <v>0.11576673007510711</v>
      </c>
    </row>
    <row r="6" spans="1:6" x14ac:dyDescent="0.25">
      <c r="A6" s="5" t="s">
        <v>40</v>
      </c>
      <c r="B6" s="7">
        <v>9.6337892927149532E-2</v>
      </c>
      <c r="C6" s="7">
        <v>6.7920115842382611E-2</v>
      </c>
      <c r="D6" s="7">
        <v>5.4979832664581261E-3</v>
      </c>
      <c r="E6" s="7">
        <v>1.2933041488102518E-2</v>
      </c>
      <c r="F6" s="7">
        <v>0.1826890335240928</v>
      </c>
    </row>
    <row r="7" spans="1:6" x14ac:dyDescent="0.25">
      <c r="A7" s="5" t="s">
        <v>35</v>
      </c>
      <c r="B7" s="7">
        <v>0.12522098709469262</v>
      </c>
      <c r="C7" s="7">
        <v>9.1492740283116228E-2</v>
      </c>
      <c r="D7" s="7">
        <v>6.3042760790965081E-3</v>
      </c>
      <c r="E7" s="7">
        <v>1.2408404181197551E-2</v>
      </c>
      <c r="F7" s="7">
        <v>0.23542640763810288</v>
      </c>
    </row>
    <row r="8" spans="1:6" x14ac:dyDescent="0.25">
      <c r="A8" s="5" t="s">
        <v>2510</v>
      </c>
      <c r="B8" s="7">
        <v>0.52495717387974916</v>
      </c>
      <c r="C8" s="7">
        <v>0.3711684913156732</v>
      </c>
      <c r="D8" s="7">
        <v>2.6245886489133303E-2</v>
      </c>
      <c r="E8" s="7">
        <v>7.7628448315444312E-2</v>
      </c>
      <c r="F8" s="7">
        <v>1</v>
      </c>
    </row>
    <row r="12" spans="1:6" x14ac:dyDescent="0.25">
      <c r="A12" s="5"/>
      <c r="B12" s="8" t="str">
        <f>pivot1!B2</f>
        <v>Female</v>
      </c>
      <c r="C12" s="8" t="str">
        <f>pivot1!C2</f>
        <v>Male</v>
      </c>
      <c r="D12" s="8" t="str">
        <f>pivot1!D2</f>
        <v>Other</v>
      </c>
      <c r="E12" s="8" t="str">
        <f>pivot1!E2</f>
        <v>Unknown</v>
      </c>
    </row>
    <row r="13" spans="1:6" x14ac:dyDescent="0.25">
      <c r="A13" s="5" t="str">
        <f>pivot1!A3</f>
        <v>App</v>
      </c>
      <c r="B13" s="9">
        <f>pivot1!B3</f>
        <v>0.18961825201634841</v>
      </c>
      <c r="C13" s="9">
        <f>pivot1!C3</f>
        <v>0.12262322351336576</v>
      </c>
      <c r="D13" s="9">
        <f>pivot1!D3</f>
        <v>1.060537752469185E-2</v>
      </c>
      <c r="E13" s="9">
        <f>pivot1!E3</f>
        <v>3.0599220547662797E-2</v>
      </c>
    </row>
    <row r="14" spans="1:6" x14ac:dyDescent="0.25">
      <c r="A14" s="5" t="str">
        <f>pivot1!A4</f>
        <v>Instagram</v>
      </c>
      <c r="B14" s="9">
        <f>pivot1!B4</f>
        <v>5.0283982091147303E-2</v>
      </c>
      <c r="C14" s="9">
        <f>pivot1!C4</f>
        <v>4.3060781812819873E-2</v>
      </c>
      <c r="D14" s="9">
        <f>pivot1!D4</f>
        <v>1.5320025675641944E-3</v>
      </c>
      <c r="E14" s="9">
        <f>pivot1!E4</f>
        <v>1.7794988689097006E-2</v>
      </c>
    </row>
    <row r="15" spans="1:6" x14ac:dyDescent="0.25">
      <c r="A15" s="5" t="str">
        <f>pivot1!A5</f>
        <v>Partner App</v>
      </c>
      <c r="B15" s="9">
        <f>pivot1!B5</f>
        <v>6.3496059750411282E-2</v>
      </c>
      <c r="C15" s="9">
        <f>pivot1!C5</f>
        <v>4.6071629863988765E-2</v>
      </c>
      <c r="D15" s="9">
        <f>pivot1!D5</f>
        <v>2.306247051322625E-3</v>
      </c>
      <c r="E15" s="9">
        <f>pivot1!E5</f>
        <v>3.8927934093844286E-3</v>
      </c>
    </row>
    <row r="16" spans="1:6" x14ac:dyDescent="0.25">
      <c r="A16" s="5" t="str">
        <f>pivot1!A6</f>
        <v>Target.com</v>
      </c>
      <c r="B16" s="9">
        <f>pivot1!B6</f>
        <v>9.6337892927149532E-2</v>
      </c>
      <c r="C16" s="9">
        <f>pivot1!C6</f>
        <v>6.7920115842382611E-2</v>
      </c>
      <c r="D16" s="9">
        <f>pivot1!D6</f>
        <v>5.4979832664581261E-3</v>
      </c>
      <c r="E16" s="9">
        <f>pivot1!E6</f>
        <v>1.2933041488102518E-2</v>
      </c>
    </row>
    <row r="17" spans="1:5" x14ac:dyDescent="0.25">
      <c r="A17" s="5" t="str">
        <f>pivot1!A7</f>
        <v>Website</v>
      </c>
      <c r="B17" s="9">
        <f>pivot1!B7</f>
        <v>0.12522098709469262</v>
      </c>
      <c r="C17" s="9">
        <f>pivot1!C7</f>
        <v>9.1492740283116228E-2</v>
      </c>
      <c r="D17" s="9">
        <f>pivot1!D7</f>
        <v>6.3042760790965081E-3</v>
      </c>
      <c r="E17" s="9">
        <f>pivot1!E7</f>
        <v>1.2408404181197551E-2</v>
      </c>
    </row>
    <row r="22" spans="1:5" x14ac:dyDescent="0.25">
      <c r="A22" s="4" t="s">
        <v>2521</v>
      </c>
      <c r="B22" t="s">
        <v>2506</v>
      </c>
    </row>
    <row r="23" spans="1:5" x14ac:dyDescent="0.25">
      <c r="A23" s="5" t="s">
        <v>2518</v>
      </c>
      <c r="B23" s="6">
        <v>206358.80000000013</v>
      </c>
    </row>
    <row r="24" spans="1:5" x14ac:dyDescent="0.25">
      <c r="A24" s="5" t="s">
        <v>2519</v>
      </c>
      <c r="B24" s="6">
        <v>227221.80000000022</v>
      </c>
    </row>
    <row r="25" spans="1:5" x14ac:dyDescent="0.25">
      <c r="A25" s="5" t="s">
        <v>2520</v>
      </c>
      <c r="B25" s="6">
        <v>215439.19999999995</v>
      </c>
    </row>
  </sheetData>
  <conditionalFormatting sqref="B13:E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Dashboard</vt:lpstr>
      <vt:lpstr>KPI</vt:lpstr>
      <vt:lpstr>Pivot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ron</cp:lastModifiedBy>
  <dcterms:created xsi:type="dcterms:W3CDTF">2025-06-13T02:42:26Z</dcterms:created>
  <dcterms:modified xsi:type="dcterms:W3CDTF">2026-09-21T16:04:51Z</dcterms:modified>
</cp:coreProperties>
</file>